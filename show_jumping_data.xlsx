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I_Combinations_2026" sheetId="1" r:id="rId5"/>
    <sheet state="visible" name="Charts" sheetId="2" r:id="rId6"/>
    <sheet state="visible" name="Olympics_2024" sheetId="3" r:id="rId7"/>
    <sheet state="visible" name="WBFSH_Sires_2024" sheetId="4" r:id="rId8"/>
    <sheet state="visible" name="Statistical_Analysis" sheetId="5" r:id="rId9"/>
    <sheet state="visible" name="README" sheetId="6" r:id="rId10"/>
  </sheets>
  <definedNames/>
  <calcPr/>
</workbook>
</file>

<file path=xl/sharedStrings.xml><?xml version="1.0" encoding="utf-8"?>
<sst xmlns="http://schemas.openxmlformats.org/spreadsheetml/2006/main" count="953" uniqueCount="555">
  <si>
    <t>Rank</t>
  </si>
  <si>
    <t>Rider</t>
  </si>
  <si>
    <t>Horse</t>
  </si>
  <si>
    <t>Rider Country (NF)</t>
  </si>
  <si>
    <t>Points</t>
  </si>
  <si>
    <t>VANDERVEEN, Kristen</t>
  </si>
  <si>
    <t>BULL RUN'S JIREH</t>
  </si>
  <si>
    <t>USA</t>
  </si>
  <si>
    <t>SWEETNAM, Shane</t>
  </si>
  <si>
    <t>CORIAAN VAN KLAPSCHEUT Z</t>
  </si>
  <si>
    <t>IRL</t>
  </si>
  <si>
    <t>MAHER, Ben</t>
  </si>
  <si>
    <t>GINGER-BLUE</t>
  </si>
  <si>
    <t>GBR</t>
  </si>
  <si>
    <t>BUCCI, Piergiorgio</t>
  </si>
  <si>
    <t>PALLIETER VD N.RANCH</t>
  </si>
  <si>
    <t>ITA</t>
  </si>
  <si>
    <t>BRASH, Scott</t>
  </si>
  <si>
    <t>HELLO JEFFERSON</t>
  </si>
  <si>
    <t>DEUSSER, Daniel</t>
  </si>
  <si>
    <t>OTELLO DE GULDENBOOM</t>
  </si>
  <si>
    <t>GER</t>
  </si>
  <si>
    <t>DERBYSHIRE, Amanda</t>
  </si>
  <si>
    <t>CORNWALL BH</t>
  </si>
  <si>
    <t>WILLIAMS, Guy</t>
  </si>
  <si>
    <t>BH GRINGOS LEGACY</t>
  </si>
  <si>
    <t>VOGEL, Richard</t>
  </si>
  <si>
    <t>GANGSTER MONTDESIR</t>
  </si>
  <si>
    <t>DELESTRE, Simon</t>
  </si>
  <si>
    <t>GOLDEN BOY DK</t>
  </si>
  <si>
    <t>FRA</t>
  </si>
  <si>
    <t>FARRINGTON, Kent</t>
  </si>
  <si>
    <t>GREYA</t>
  </si>
  <si>
    <t>LITTLE, Marilyn</t>
  </si>
  <si>
    <t>LA CONTESSA</t>
  </si>
  <si>
    <t>PUCK, Gerfried</t>
  </si>
  <si>
    <t>EQUITRON NAXCEL V</t>
  </si>
  <si>
    <t>AUT</t>
  </si>
  <si>
    <t>MOISSONNIER, Megane</t>
  </si>
  <si>
    <t>QOUP DE COEUR DE MUZE</t>
  </si>
  <si>
    <t>JAMES KANN CRUZ</t>
  </si>
  <si>
    <t>DEVOS, Pieter</t>
  </si>
  <si>
    <t>CASUAL DV Z</t>
  </si>
  <si>
    <t>BEL</t>
  </si>
  <si>
    <t>EPAILLARD, Julien</t>
  </si>
  <si>
    <t>DONATELLO D'AUGE</t>
  </si>
  <si>
    <t>BLUMAN, Mark</t>
  </si>
  <si>
    <t>LANDON DE NYZE</t>
  </si>
  <si>
    <t>COL</t>
  </si>
  <si>
    <t>REID, Chloe</t>
  </si>
  <si>
    <t>CROSSOVER 4</t>
  </si>
  <si>
    <t>GUERDAT, Steve</t>
  </si>
  <si>
    <t>ALBFUEHREN'S IASHIN SITTE</t>
  </si>
  <si>
    <t>SUI</t>
  </si>
  <si>
    <t>ENJEU DE GRISIEN</t>
  </si>
  <si>
    <t>MCLEAN, Alexander</t>
  </si>
  <si>
    <t>CALIXTE HEARTBREAKER Z</t>
  </si>
  <si>
    <t>LAMBRE, Santiago</t>
  </si>
  <si>
    <t>ZEUSZ</t>
  </si>
  <si>
    <t>BRA</t>
  </si>
  <si>
    <t>MALLEVAEY, Nina</t>
  </si>
  <si>
    <t>DYNASTIE DE BEAUFOUR</t>
  </si>
  <si>
    <t>DITTMER, Rene</t>
  </si>
  <si>
    <t>CODY 139</t>
  </si>
  <si>
    <t>SATO, Eiken</t>
  </si>
  <si>
    <t>CHADELLANO JRA</t>
  </si>
  <si>
    <t>JPN</t>
  </si>
  <si>
    <t>TOULAYNA</t>
  </si>
  <si>
    <t>CROONER TAME</t>
  </si>
  <si>
    <t>FUCHS, Martin</t>
  </si>
  <si>
    <t>CONNER JEI</t>
  </si>
  <si>
    <t>ALSHARBATLY, Abdullah</t>
  </si>
  <si>
    <t>SKORPHULTS BALOUTENDRO</t>
  </si>
  <si>
    <t>KSA</t>
  </si>
  <si>
    <t>VALE, Aaron</t>
  </si>
  <si>
    <t>CARISSIMO 25</t>
  </si>
  <si>
    <t>BALLARD, Erynn</t>
  </si>
  <si>
    <t>DE FLOR 111 Z SANTA ROSA</t>
  </si>
  <si>
    <t>CAN</t>
  </si>
  <si>
    <t>DEAN, Natalie</t>
  </si>
  <si>
    <t>MR BOOMBASTIC</t>
  </si>
  <si>
    <t>BARYARD-JOHNSSON, Malin</t>
  </si>
  <si>
    <t>H\&amp;M INDIANA</t>
  </si>
  <si>
    <t>SWE</t>
  </si>
  <si>
    <t>VAN BEEK, Roy</t>
  </si>
  <si>
    <t>CAVOIRO - H OLD</t>
  </si>
  <si>
    <t>DESCARTES SR</t>
  </si>
  <si>
    <t>MODOLO ZANOTELLI, Marlon</t>
  </si>
  <si>
    <t>CHARLY HEART</t>
  </si>
  <si>
    <t>GATSBY DU TILLARD</t>
  </si>
  <si>
    <t>KENNY, Darragh</t>
  </si>
  <si>
    <t>EDDY BLUE</t>
  </si>
  <si>
    <t>KING, Kyle</t>
  </si>
  <si>
    <t>KAYENNE Z</t>
  </si>
  <si>
    <t>BREEN, Shane</t>
  </si>
  <si>
    <t>BP ARCTIC BLUE</t>
  </si>
  <si>
    <t>STOCKDALE, Joseph</t>
  </si>
  <si>
    <t>EBANKING</t>
  </si>
  <si>
    <t>EMMEN, Kim</t>
  </si>
  <si>
    <t>IMAGINE N.O.P.</t>
  </si>
  <si>
    <t>NED</t>
  </si>
  <si>
    <t>SWAIL, Conor</t>
  </si>
  <si>
    <t>THEO 160</t>
  </si>
  <si>
    <t>NARADO</t>
  </si>
  <si>
    <t>MENDOZA, Jessica</t>
  </si>
  <si>
    <t>IN THE AIR</t>
  </si>
  <si>
    <t>DINIZ, Luciana</t>
  </si>
  <si>
    <t>VERTIGO DU DESERT</t>
  </si>
  <si>
    <t>CHELSEA 179</t>
  </si>
  <si>
    <t>SPITS, Thibeau</t>
  </si>
  <si>
    <t>IMPRESS-K VAN'T KATTENHEYE Z</t>
  </si>
  <si>
    <t>DERWIN, Francis</t>
  </si>
  <si>
    <t>FLEXI K</t>
  </si>
  <si>
    <t>DESTINE TO BE</t>
  </si>
  <si>
    <t>MY CLEMENTINE</t>
  </si>
  <si>
    <t>BLANCHETTE, Robert</t>
  </si>
  <si>
    <t>CHARDONNAY</t>
  </si>
  <si>
    <t>BISHARAT, Ibrahim</t>
  </si>
  <si>
    <t>Hani HAPPYNESS</t>
  </si>
  <si>
    <t>JOR</t>
  </si>
  <si>
    <t>GASPAR ALBAÑEZ, Juan</t>
  </si>
  <si>
    <t>Pablo DIARENO BLUE PS</t>
  </si>
  <si>
    <t>MEX</t>
  </si>
  <si>
    <t>SWEETNAM, Olivia</t>
  </si>
  <si>
    <t>EPIC</t>
  </si>
  <si>
    <t>IRON DAMES ABOU-CHAKER NRW</t>
  </si>
  <si>
    <t>WILL, David</t>
  </si>
  <si>
    <t>XIXO BORGIA</t>
  </si>
  <si>
    <t>PRATT, Chris</t>
  </si>
  <si>
    <t>IDEAAL ES</t>
  </si>
  <si>
    <t>COYLE, Daniel</t>
  </si>
  <si>
    <t>FARREL</t>
  </si>
  <si>
    <t>VON ECKERMANN, Henrik</t>
  </si>
  <si>
    <t>QASIRAH VAN DE REISTENHOEK</t>
  </si>
  <si>
    <t>GULLIKSEN, Johan-Sebastian</t>
  </si>
  <si>
    <t>EQUINE AMERICA HARWICH VDL</t>
  </si>
  <si>
    <t>NOR</t>
  </si>
  <si>
    <t>BALCOMB, Lauren</t>
  </si>
  <si>
    <t>VERDINI D'HOUTVELD Z</t>
  </si>
  <si>
    <t>AUS</t>
  </si>
  <si>
    <t>BLUMAN, Daniel</t>
  </si>
  <si>
    <t>GEMMA W</t>
  </si>
  <si>
    <t>ISR</t>
  </si>
  <si>
    <t>ECKERMANN, Katrin</t>
  </si>
  <si>
    <t>IRON DAMES DIALOU BLUE PS</t>
  </si>
  <si>
    <t>PESSOA, Rodrigo</t>
  </si>
  <si>
    <t>PRINS VAN 'T EIGENLO</t>
  </si>
  <si>
    <t>IDIAAL SPECIAL H.J.</t>
  </si>
  <si>
    <t>ALLEN, Millie</t>
  </si>
  <si>
    <t>QUICK DIAMANT HR</t>
  </si>
  <si>
    <t>MALINA</t>
  </si>
  <si>
    <t>HELLO CHADORA LADY</t>
  </si>
  <si>
    <t>GREVE, Willem</t>
  </si>
  <si>
    <t>GRANDORADO TN N.O.P.</t>
  </si>
  <si>
    <t>PLASCENCIA O., Luis</t>
  </si>
  <si>
    <t>Alejandro ENZO BJX</t>
  </si>
  <si>
    <t>HER GAME BALL BG</t>
  </si>
  <si>
    <t>LANGMEIER, Mckayla</t>
  </si>
  <si>
    <t>RIESLING VAN DE GAATHOEVE</t>
  </si>
  <si>
    <t>ALLEN, Bertram</t>
  </si>
  <si>
    <t>QONQUEST DE RIGO</t>
  </si>
  <si>
    <t>AUGUSTSSON ZANOTELLI, Angelica</t>
  </si>
  <si>
    <t>TIPPERARY</t>
  </si>
  <si>
    <t>PERREAU, Olivier</t>
  </si>
  <si>
    <t>GL EVENTS DORAI D'AIGUILLY</t>
  </si>
  <si>
    <t>DANA, Jad</t>
  </si>
  <si>
    <t>ITCHCOCK DES DAMES</t>
  </si>
  <si>
    <t>LBN</t>
  </si>
  <si>
    <t>JARINA J</t>
  </si>
  <si>
    <t>DINAN, Katherine</t>
  </si>
  <si>
    <t>A. OUT OF THE BLUE SCF</t>
  </si>
  <si>
    <t>HINNERS, Sophie</t>
  </si>
  <si>
    <t>IRON DAMES KALENI JO</t>
  </si>
  <si>
    <t>MANSUR, Yuri</t>
  </si>
  <si>
    <t>VITIKI</t>
  </si>
  <si>
    <t>PIZARRO, Nicolas</t>
  </si>
  <si>
    <t>FARINO DU GUINEFORT</t>
  </si>
  <si>
    <t>CHARLES, Harry</t>
  </si>
  <si>
    <t>CASQUO BLUE</t>
  </si>
  <si>
    <t>FERRER, Alexa</t>
  </si>
  <si>
    <t>VITALHORSE FLEUR D'OZ</t>
  </si>
  <si>
    <t>GAROFALO, Giampiero</t>
  </si>
  <si>
    <t>LAMBRUSCO</t>
  </si>
  <si>
    <t>JACOBS, Charlotte</t>
  </si>
  <si>
    <t>RINCOOLA MILSEAN</t>
  </si>
  <si>
    <t>PARADA VALLEJO, Arturo</t>
  </si>
  <si>
    <t>LARETTO</t>
  </si>
  <si>
    <t>SAÏD, Abdel</t>
  </si>
  <si>
    <t>WATHNAN QUAKER BRIMBELLES Z</t>
  </si>
  <si>
    <t>SCHNIEPER, Barbara</t>
  </si>
  <si>
    <t>JUDY KM</t>
  </si>
  <si>
    <t>EASY UP DE GRANDRY</t>
  </si>
  <si>
    <t>GAUDIANO, Emanuele</t>
  </si>
  <si>
    <t>NIKOLAJ DE MUSIC</t>
  </si>
  <si>
    <t>MEYER-ZIMMERMANN, Janne</t>
  </si>
  <si>
    <t>Friederike IRON DAMES HIGH LEVEL</t>
  </si>
  <si>
    <t>O'CONNOR, Cian</t>
  </si>
  <si>
    <t>KENTUCKY TN</t>
  </si>
  <si>
    <t>BURKE, Jessica</t>
  </si>
  <si>
    <t>GOOD STAR DU BARY</t>
  </si>
  <si>
    <t>CHEDRAUI EGUIA, Jose</t>
  </si>
  <si>
    <t>Antonio CON-COR</t>
  </si>
  <si>
    <t>DREHER, Hans-Dieter</t>
  </si>
  <si>
    <t>VESTMALLE DES COTIS</t>
  </si>
  <si>
    <t>STANEK, Vaclav</t>
  </si>
  <si>
    <t>LANGLEY</t>
  </si>
  <si>
    <t>CZE</t>
  </si>
  <si>
    <t>VAN PAESSCHEN, Constant</t>
  </si>
  <si>
    <t>DIAZ DU THOT</t>
  </si>
  <si>
    <t>VANDECASTEELE, Bart</t>
  </si>
  <si>
    <t>Jay Junior LOTTI BLUE Z</t>
  </si>
  <si>
    <t>CHAWKE, James</t>
  </si>
  <si>
    <t>DAIDO VAN'T RUYTERSHOF Z</t>
  </si>
  <si>
    <t>MCEVOY, Niamh</t>
  </si>
  <si>
    <t>OLYMPIC 'GL' 'FVD'</t>
  </si>
  <si>
    <t>CLOUDIO</t>
  </si>
  <si>
    <t>POPE, Jacob</t>
  </si>
  <si>
    <t>HIGHWAY FBH</t>
  </si>
  <si>
    <t>Friederike CELLAGON CASCAIS</t>
  </si>
  <si>
    <t>NIELSEN, Anastasia</t>
  </si>
  <si>
    <t>ESI ROCKY</t>
  </si>
  <si>
    <t>MON</t>
  </si>
  <si>
    <t>THIEME, Andre</t>
  </si>
  <si>
    <t>DSP CHAKARIA</t>
  </si>
  <si>
    <t>EL DAHAN, Sameh</t>
  </si>
  <si>
    <t>OSCAR-A</t>
  </si>
  <si>
    <t>GUERY, Jérôme</t>
  </si>
  <si>
    <t>QARTOUCHE DE LA POMME D'OR</t>
  </si>
  <si>
    <t>HUREL, Cedric</t>
  </si>
  <si>
    <t>FANTASIO FLOREVAL Z</t>
  </si>
  <si>
    <t>SAMIR, Zain</t>
  </si>
  <si>
    <t>Shady LE BOSS</t>
  </si>
  <si>
    <t>EGY</t>
  </si>
  <si>
    <t>CASTURANO</t>
  </si>
  <si>
    <t>PAULE S</t>
  </si>
  <si>
    <t>URVILLE Z</t>
  </si>
  <si>
    <t>PEPITA VAN T MEULENHOF BR</t>
  </si>
  <si>
    <t>ESTEBAN DE HUS</t>
  </si>
  <si>
    <t>SCHOTT, Callie</t>
  </si>
  <si>
    <t>GARANT</t>
  </si>
  <si>
    <t>CLONTERM OBOLENSKY</t>
  </si>
  <si>
    <t>HELIOS DU MOULIN</t>
  </si>
  <si>
    <t>WORDLEY, Sharn</t>
  </si>
  <si>
    <t>CHAMPION LEAGUE</t>
  </si>
  <si>
    <t>NZL</t>
  </si>
  <si>
    <t>COOK, Karl</t>
  </si>
  <si>
    <t>CARACOLE DE LA ROQUE</t>
  </si>
  <si>
    <t>SMOLDERS, Harrie</t>
  </si>
  <si>
    <t>MR. TAC</t>
  </si>
  <si>
    <t>SCARTEEN</t>
  </si>
  <si>
    <t>LEONIDAS</t>
  </si>
  <si>
    <t>BINGO STE HERMELLE</t>
  </si>
  <si>
    <t>GARZA PEREZ, Eugenio</t>
  </si>
  <si>
    <t>CONTAGO</t>
  </si>
  <si>
    <t>PEREIRA DE MENEZES, Eduardo</t>
  </si>
  <si>
    <t>H5 KONTADOR VDM</t>
  </si>
  <si>
    <t>STARBUCKS 27</t>
  </si>
  <si>
    <t>QUICKLY D VH IJZERENLINDEHOF</t>
  </si>
  <si>
    <t>KRAUT, Laura</t>
  </si>
  <si>
    <t>UNA MARIPOSA</t>
  </si>
  <si>
    <t>LE ROY, Jeremy</t>
  </si>
  <si>
    <t>FALKIRA DE MORMOULINS</t>
  </si>
  <si>
    <t>FOSTER, Tiffany</t>
  </si>
  <si>
    <t>BATTLECRY</t>
  </si>
  <si>
    <t>JUNG, Michael</t>
  </si>
  <si>
    <t>FISCHERHEROS Z</t>
  </si>
  <si>
    <t>COLIBELLE HERO Z</t>
  </si>
  <si>
    <t>THIROUIN, Max</t>
  </si>
  <si>
    <t>UTOPIE VILLELONGUE</t>
  </si>
  <si>
    <t>CARDENTOS</t>
  </si>
  <si>
    <t>WARD, Mclain</t>
  </si>
  <si>
    <t>HIGH STAR HERO</t>
  </si>
  <si>
    <t>AL AJAMI, Faleh</t>
  </si>
  <si>
    <t>Suwead WATHNAN QUATRO</t>
  </si>
  <si>
    <t>QAT</t>
  </si>
  <si>
    <t>AL MARZOOQI, Omar</t>
  </si>
  <si>
    <t>Abdul Aziz ENJOY DE LA MURE</t>
  </si>
  <si>
    <t>UAE</t>
  </si>
  <si>
    <t>ANQUETIN, Julien</t>
  </si>
  <si>
    <t>BLOOD DIAMOND DU PONT</t>
  </si>
  <si>
    <t>DIOR</t>
  </si>
  <si>
    <t>CHAMMAS, Roger</t>
  </si>
  <si>
    <t>GLONDON DI SAN GIOVANNI</t>
  </si>
  <si>
    <t>DUFFY, Michael</t>
  </si>
  <si>
    <t>MR. CORNIKE</t>
  </si>
  <si>
    <t>PETER STEINER, Nadja</t>
  </si>
  <si>
    <t>CLEARROUND IL MONDO</t>
  </si>
  <si>
    <t>SERS, Nicolas</t>
  </si>
  <si>
    <t>ELEVEN DE RIVERLAND</t>
  </si>
  <si>
    <t>KEENAN, Lillie</t>
  </si>
  <si>
    <t>KICK ON</t>
  </si>
  <si>
    <t>AL DUHAMI, Ramzy</t>
  </si>
  <si>
    <t>CAYADINO</t>
  </si>
  <si>
    <t>QUISANDRO</t>
  </si>
  <si>
    <t>LOVE DE VIE</t>
  </si>
  <si>
    <t>ASCADINA PP Z</t>
  </si>
  <si>
    <t>OPATRNY, Ales</t>
  </si>
  <si>
    <t>VIVO DE MUZE PS</t>
  </si>
  <si>
    <t>NICE VAN'T ZORGVLIET</t>
  </si>
  <si>
    <t>O'NEILL, Uma</t>
  </si>
  <si>
    <t>LUIGI D'ECLIPSE</t>
  </si>
  <si>
    <t>GRAY'S INN</t>
  </si>
  <si>
    <t>PACINO AMIRO</t>
  </si>
  <si>
    <t>COUS COUS 3</t>
  </si>
  <si>
    <t>GOCHMAN, Mimi</t>
  </si>
  <si>
    <t>IRON MAIDEN</t>
  </si>
  <si>
    <t>LOMMERS</t>
  </si>
  <si>
    <t>MARTINSEN, Karin</t>
  </si>
  <si>
    <t>TAILORMADE CONCHA BALOU</t>
  </si>
  <si>
    <t>ULYSSES</t>
  </si>
  <si>
    <t>UNITED TOUCH S</t>
  </si>
  <si>
    <t>WHITAKER, Jack</t>
  </si>
  <si>
    <t>IZARA DES DAMES</t>
  </si>
  <si>
    <t>HOME-RUN</t>
  </si>
  <si>
    <t>COYLE, Jordan</t>
  </si>
  <si>
    <t>CHACCOLINO</t>
  </si>
  <si>
    <t>NIEBERG, Gerrit</t>
  </si>
  <si>
    <t>IB QUEEN</t>
  </si>
  <si>
    <t>STÜHLMEYER, Patrick</t>
  </si>
  <si>
    <t>CONTERNO-BLUE PS</t>
  </si>
  <si>
    <t>WARD, Emily</t>
  </si>
  <si>
    <t>WILD STAR HF</t>
  </si>
  <si>
    <t>NIKKA VD BISSCHOP</t>
  </si>
  <si>
    <t>ROZIER, Philippe</t>
  </si>
  <si>
    <t>DIRTY SWEET</t>
  </si>
  <si>
    <t>AMILIBIA, Paola</t>
  </si>
  <si>
    <t>I'M A STAR</t>
  </si>
  <si>
    <t>HANK CONTER, Zoe</t>
  </si>
  <si>
    <t>LA UNA</t>
  </si>
  <si>
    <t>JOBS, Eve</t>
  </si>
  <si>
    <t>CANTO BRUNO</t>
  </si>
  <si>
    <t>PHILIPPAERTS, Nicola</t>
  </si>
  <si>
    <t>H\&amp;M QUE SERA</t>
  </si>
  <si>
    <t>WATHNAN ZASOU VOM CLAASHOF</t>
  </si>
  <si>
    <t>HOEKSTRA, Jelmer</t>
  </si>
  <si>
    <t>LORDY-P</t>
  </si>
  <si>
    <t>GONÇALVES, Luis</t>
  </si>
  <si>
    <t>Sabino SCOOP DE SEPTON Z</t>
  </si>
  <si>
    <t>POR</t>
  </si>
  <si>
    <t>MARTINEZ BASTIDA, Mariano</t>
  </si>
  <si>
    <t>BELANO VD WIJNHOEVE Z</t>
  </si>
  <si>
    <t>ESP</t>
  </si>
  <si>
    <t>MILLAR, Amy</t>
  </si>
  <si>
    <t>CHRISTIANO</t>
  </si>
  <si>
    <t>NASSAR, Nayel</t>
  </si>
  <si>
    <t>ESI ALI</t>
  </si>
  <si>
    <t>PEREZ BOHM, John</t>
  </si>
  <si>
    <t>LAREUSA S</t>
  </si>
  <si>
    <t>VAN ASTEN, Mathijs</t>
  </si>
  <si>
    <t>HOTSPOT</t>
  </si>
  <si>
    <t>ANGOT, Cedric</t>
  </si>
  <si>
    <t>GANDOR DU FIEF</t>
  </si>
  <si>
    <t>BETTENDORF, Victor</t>
  </si>
  <si>
    <t>ENCORE TOI DU LINON</t>
  </si>
  <si>
    <t>LUX</t>
  </si>
  <si>
    <t>HELLO MANGO</t>
  </si>
  <si>
    <t>ORAFINA</t>
  </si>
  <si>
    <t>QUERIDO VAN'T RUYTERSHOF</t>
  </si>
  <si>
    <t>LILL, Maximilian</t>
  </si>
  <si>
    <t>CASALLCO'S GEORGE PS</t>
  </si>
  <si>
    <t>LYNGVAER, Oda</t>
  </si>
  <si>
    <t>Charlotte CARABELLA VD NEYEN Z</t>
  </si>
  <si>
    <t>ORPHEA HQ</t>
  </si>
  <si>
    <t>VALENTO</t>
  </si>
  <si>
    <t>KÜHNER, Max</t>
  </si>
  <si>
    <t>EIC QUANTUM ROBIN V</t>
  </si>
  <si>
    <t>ERWIN, Thaisa</t>
  </si>
  <si>
    <t>HIALITA B</t>
  </si>
  <si>
    <t>LORDE</t>
  </si>
  <si>
    <t>MC CREA, Jonathan</t>
  </si>
  <si>
    <t>CHACCOTILINO PS</t>
  </si>
  <si>
    <t>BOECKMANNS LORD PEZI JUNIOR</t>
  </si>
  <si>
    <t>CORBIE V.V.</t>
  </si>
  <si>
    <t>PHELINA DE SEPTON</t>
  </si>
  <si>
    <t>CASYNNA</t>
  </si>
  <si>
    <t>EVENT DE L'HERIBUS</t>
  </si>
  <si>
    <t>BISQUETTA</t>
  </si>
  <si>
    <t>Source: FEI Jumping Combination Rankings, April 2026 | https://www.fei.org</t>
  </si>
  <si>
    <t>Final Rank</t>
  </si>
  <si>
    <t>Rider Country</t>
  </si>
  <si>
    <t>Stage</t>
  </si>
  <si>
    <t>Christian Kukuk</t>
  </si>
  <si>
    <t>Checker 47</t>
  </si>
  <si>
    <t>Gold</t>
  </si>
  <si>
    <t>Steve Guerdat</t>
  </si>
  <si>
    <t>Dynamix De Belheme</t>
  </si>
  <si>
    <t>Silver</t>
  </si>
  <si>
    <t>Maikel van der Vleuten</t>
  </si>
  <si>
    <t>Beauville Z</t>
  </si>
  <si>
    <t>Bronze</t>
  </si>
  <si>
    <t>Julien Epaillard</t>
  </si>
  <si>
    <t>Dubai Du Cedre</t>
  </si>
  <si>
    <t>Final</t>
  </si>
  <si>
    <t>Stephan Barcha</t>
  </si>
  <si>
    <t>Primavera</t>
  </si>
  <si>
    <t>Scott Brash</t>
  </si>
  <si>
    <t>Jefferson</t>
  </si>
  <si>
    <t>Max Kühner</t>
  </si>
  <si>
    <t>Elektric Blue P</t>
  </si>
  <si>
    <t>Laura Kraut</t>
  </si>
  <si>
    <t>Baloutinue</t>
  </si>
  <si>
    <t>Ben Maher</t>
  </si>
  <si>
    <t>Dallas Vegas Batilly</t>
  </si>
  <si>
    <t>Martin Fuchs</t>
  </si>
  <si>
    <t>Leone Jei</t>
  </si>
  <si>
    <t>Ramzy Al-Duhami</t>
  </si>
  <si>
    <t>Untouchable 32</t>
  </si>
  <si>
    <t>Philipp Weishaupt</t>
  </si>
  <si>
    <t>Zineday</t>
  </si>
  <si>
    <t>Abdulrahman Alrajhi</t>
  </si>
  <si>
    <t>Ventago</t>
  </si>
  <si>
    <t>Harrie Smolders</t>
  </si>
  <si>
    <t>Uricas VD Kattevennen</t>
  </si>
  <si>
    <t>Grégory Wathelet</t>
  </si>
  <si>
    <t>Bond JamesBond De Hey</t>
  </si>
  <si>
    <t>Karl Cook</t>
  </si>
  <si>
    <t>Caracole de la Roque</t>
  </si>
  <si>
    <t>Simon Delestre</t>
  </si>
  <si>
    <t>I Amelusina R 51</t>
  </si>
  <si>
    <t>Mario Deslauriers</t>
  </si>
  <si>
    <t>Emerson</t>
  </si>
  <si>
    <t>Omar Al Marzouqi</t>
  </si>
  <si>
    <t>Enjoy de la Mure</t>
  </si>
  <si>
    <t>Gilles Thomas</t>
  </si>
  <si>
    <t>Ermitage Kalone</t>
  </si>
  <si>
    <t>Emanuele Camilli</t>
  </si>
  <si>
    <t>Odense Odeveld</t>
  </si>
  <si>
    <t>Shane Sweetnam</t>
  </si>
  <si>
    <t>James Kann Cruz</t>
  </si>
  <si>
    <t>Kim Emmen</t>
  </si>
  <si>
    <t>Imagine</t>
  </si>
  <si>
    <t>Victoria Gulliksen</t>
  </si>
  <si>
    <t>Mistral van de Vogelzang</t>
  </si>
  <si>
    <t>José Maria Larocca</t>
  </si>
  <si>
    <t>ARG</t>
  </si>
  <si>
    <t>Viens Tu De Sey</t>
  </si>
  <si>
    <t>Andres Azcarraga</t>
  </si>
  <si>
    <t>Contendros 2</t>
  </si>
  <si>
    <t>Eliminated</t>
  </si>
  <si>
    <t>Henrik von Eckermann</t>
  </si>
  <si>
    <t>King Edward</t>
  </si>
  <si>
    <t>Source: Wikipedia - Equestrian at the 2024 Summer Olympics – Individual jumping</t>
  </si>
  <si>
    <t>Sire Name</t>
  </si>
  <si>
    <t>Country of Origin</t>
  </si>
  <si>
    <t>Studbook</t>
  </si>
  <si>
    <t>WBFSH Points</t>
  </si>
  <si>
    <t>Kannan</t>
  </si>
  <si>
    <t>BWP</t>
  </si>
  <si>
    <t>Chacco-Blue</t>
  </si>
  <si>
    <t>Westphalian</t>
  </si>
  <si>
    <t>Diamant de Semilly</t>
  </si>
  <si>
    <t>Selle Français</t>
  </si>
  <si>
    <t>Cornet Obolensky</t>
  </si>
  <si>
    <t>Oldenburg</t>
  </si>
  <si>
    <t>Mylord Carthago</t>
  </si>
  <si>
    <t>Toulon</t>
  </si>
  <si>
    <t>KWPN</t>
  </si>
  <si>
    <t>Cardento 933</t>
  </si>
  <si>
    <t>SWB</t>
  </si>
  <si>
    <t>Comme il Faut 5</t>
  </si>
  <si>
    <t>Hanoverian</t>
  </si>
  <si>
    <t>VDL Zirocco Blue</t>
  </si>
  <si>
    <t>Eldorado vd Zeshoek</t>
  </si>
  <si>
    <t>Casall</t>
  </si>
  <si>
    <t>Vigo d'Arsouilles STX</t>
  </si>
  <si>
    <t>Emerald van't Ruytershof</t>
  </si>
  <si>
    <t>Balou du Rouet</t>
  </si>
  <si>
    <t>Holsteiner</t>
  </si>
  <si>
    <t>Diarado</t>
  </si>
  <si>
    <t>Nabab de Reve</t>
  </si>
  <si>
    <t>Cascadello</t>
  </si>
  <si>
    <t>Verdi TN</t>
  </si>
  <si>
    <t>Elvis ter Putte</t>
  </si>
  <si>
    <t>Thunder vd Zuuthoeve</t>
  </si>
  <si>
    <t>Conthargos</t>
  </si>
  <si>
    <t>Baloubet du Rouet</t>
  </si>
  <si>
    <t>Catoki</t>
  </si>
  <si>
    <t>Plot Blue</t>
  </si>
  <si>
    <t>Calvaro F.C.</t>
  </si>
  <si>
    <t>Numero Uno</t>
  </si>
  <si>
    <t>Bamako de Muze</t>
  </si>
  <si>
    <t>Clarimo</t>
  </si>
  <si>
    <t>Tangelo van de Zuuthoeve</t>
  </si>
  <si>
    <t>Berlin</t>
  </si>
  <si>
    <t>Arezzo VDL</t>
  </si>
  <si>
    <t>Vigo CECE</t>
  </si>
  <si>
    <t>Baltic VDL</t>
  </si>
  <si>
    <t>Colestus</t>
  </si>
  <si>
    <t>Contendro I</t>
  </si>
  <si>
    <t>Messenger</t>
  </si>
  <si>
    <t>ISH</t>
  </si>
  <si>
    <t>Christian 25</t>
  </si>
  <si>
    <t>Harley</t>
  </si>
  <si>
    <t>Bustique</t>
  </si>
  <si>
    <t>Uriko</t>
  </si>
  <si>
    <t>I M Special de Muze</t>
  </si>
  <si>
    <t>Quaprice Bois Margot</t>
  </si>
  <si>
    <t>Zandor</t>
  </si>
  <si>
    <t>Action-Breaker</t>
  </si>
  <si>
    <t>Spartacus TN</t>
  </si>
  <si>
    <t>Carrera VDL</t>
  </si>
  <si>
    <t>L'Arc de Triomphe</t>
  </si>
  <si>
    <t>Connor 48</t>
  </si>
  <si>
    <t>Stakkato Gold</t>
  </si>
  <si>
    <t>Darco</t>
  </si>
  <si>
    <t>Source: WBFSH World Ranking List 2024 - Jumping Top 100 Sires | https://wbfsh.com</t>
  </si>
  <si>
    <t>Note: Country of origin added manually based on studbook registration. Top 50 sires shown.</t>
  </si>
  <si>
    <t>WBFSH Sire Concentration Analysis</t>
  </si>
  <si>
    <t>Country</t>
  </si>
  <si>
    <t>Sire Count</t>
  </si>
  <si>
    <t>% of Total</t>
  </si>
  <si>
    <t>Top 3 countries total</t>
  </si>
  <si>
    <t>Top 3 % of total</t>
  </si>
  <si>
    <t>Top 1 country dominance</t>
  </si>
  <si>
    <t>FEI Average Points by Rider Country</t>
  </si>
  <si>
    <t>Avg Points per Rider</t>
  </si>
  <si>
    <t>Dependency Index Analysis</t>
  </si>
  <si>
    <t>Top Sires</t>
  </si>
  <si>
    <t>Top Riders</t>
  </si>
  <si>
    <t>Dependency Index</t>
  </si>
  <si>
    <t>PROJECT</t>
  </si>
  <si>
    <t>Show Jumping Horses — Nationality Analysis</t>
  </si>
  <si>
    <t>Author</t>
  </si>
  <si>
    <t>Anna Viola De Matteis (dematteisannaviola)</t>
  </si>
  <si>
    <t>GitHub</t>
  </si>
  <si>
    <t>https://github.com/dematteisannaviola/show-jumping-horses-analysis</t>
  </si>
  <si>
    <t>Last Updated</t>
  </si>
  <si>
    <t>May 2026</t>
  </si>
  <si>
    <t>SHEET 1</t>
  </si>
  <si>
    <t>FEI_Combinations_2026</t>
  </si>
  <si>
    <t>Description</t>
  </si>
  <si>
    <t>FEI Jumping Combination Rankings (April 2026) — Rider + Horse + Nationality</t>
  </si>
  <si>
    <t>Source</t>
  </si>
  <si>
    <t>FEI Official Rankings | https://www.fei.org</t>
  </si>
  <si>
    <t>Records</t>
  </si>
  <si>
    <t>200 top combinations</t>
  </si>
  <si>
    <t>SHEET 2</t>
  </si>
  <si>
    <t>Olympics_2024</t>
  </si>
  <si>
    <t>Individual Show Jumping results — Paris 2024 Olympics (Final + Qualification)</t>
  </si>
  <si>
    <t>Wikipedia — Equestrian at the 2024 Summer Olympics</t>
  </si>
  <si>
    <t>27 riders (final + qualifiers)</t>
  </si>
  <si>
    <t>SHEET 3</t>
  </si>
  <si>
    <t>WBFSH_Sires_2024</t>
  </si>
  <si>
    <t>Top 50 show jumping sires worldwide by breeding performance points</t>
  </si>
  <si>
    <t>WBFSH World Ranking List 2024 | https://wbfsh.com</t>
  </si>
  <si>
    <t>50 sires with country of origin</t>
  </si>
  <si>
    <t>KEY QUESTIONS</t>
  </si>
  <si>
    <t>Q1</t>
  </si>
  <si>
    <t>Which countries produce the most competitive horses (sires)?</t>
  </si>
  <si>
    <t>Q2</t>
  </si>
  <si>
    <t>Do riders compete with horses from their own country?</t>
  </si>
  <si>
    <t>Q3</t>
  </si>
  <si>
    <t>Which nationalities dominate Olympic podiums?</t>
  </si>
  <si>
    <t>Q4</t>
  </si>
  <si>
    <t>Is there a gap between horse-producing countries and rider-nationality countries?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</si>
</sst>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i/>
      <sz val="8.0"/>
      <color rgb="FF666666"/>
      <name val="Calibri"/>
      <scheme val="minor"/>
    </font>
    <font>
      <b/>
      <sz val="9.0"/>
      <color rgb="FFB8860B"/>
      <name val="Arial"/>
    </font>
    <font>
      <b/>
      <sz val="9.0"/>
      <color rgb="FF808080"/>
      <name val="Arial"/>
    </font>
    <font>
      <b/>
      <sz val="9.0"/>
      <color rgb="FFCD7F32"/>
      <name val="Arial"/>
    </font>
    <font>
      <i/>
      <sz val="8.0"/>
      <color rgb="FF888888"/>
      <name val="Calibri"/>
      <scheme val="minor"/>
    </font>
    <font>
      <color theme="1"/>
      <name val="Calibri"/>
      <scheme val="minor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DEEFF"/>
        <bgColor rgb="FFDDEEFF"/>
      </patternFill>
    </fill>
    <fill>
      <patternFill patternType="solid">
        <fgColor rgb="FF1E4620"/>
        <bgColor rgb="FF1E4620"/>
      </patternFill>
    </fill>
    <fill>
      <patternFill patternType="solid">
        <fgColor rgb="FFDDFFDD"/>
        <bgColor rgb="FFDDFFDD"/>
      </patternFill>
    </fill>
    <fill>
      <patternFill patternType="solid">
        <fgColor rgb="FF4B0082"/>
        <bgColor rgb="FF4B0082"/>
      </patternFill>
    </fill>
    <fill>
      <patternFill patternType="solid">
        <fgColor rgb="FFF0E6FF"/>
        <bgColor rgb="FFF0E6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1" fillId="4" fontId="1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vertical="center"/>
    </xf>
    <xf borderId="1" fillId="5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5" fontId="6" numFmtId="0" xfId="0" applyAlignment="1" applyBorder="1" applyFont="1">
      <alignment vertical="center"/>
    </xf>
    <xf borderId="1" fillId="6" fontId="1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vertical="center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left" readingOrder="0"/>
    </xf>
    <xf borderId="0" fillId="0" fontId="8" numFmtId="0" xfId="0" applyFont="1"/>
    <xf borderId="0" fillId="0" fontId="8" numFmtId="164" xfId="0" applyAlignment="1" applyFont="1" applyNumberFormat="1">
      <alignment readingOrder="0"/>
    </xf>
    <xf borderId="0" fillId="0" fontId="8" numFmtId="164" xfId="0" applyFont="1" applyNumberFormat="1"/>
    <xf borderId="0" fillId="0" fontId="9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FEI Points per Rider by Nation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Statistical_Analysis!$B$16:$B$18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Statistical_Analysis!$A$19:$A$25</c:f>
            </c:strRef>
          </c:cat>
          <c:val>
            <c:numRef>
              <c:f>Statistical_Analysis!$B$19:$B$25</c:f>
              <c:numCache/>
            </c:numRef>
          </c:val>
        </c:ser>
        <c:axId val="458037205"/>
        <c:axId val="1096227516"/>
      </c:barChart>
      <c:catAx>
        <c:axId val="4580372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227516"/>
      </c:catAx>
      <c:valAx>
        <c:axId val="10962275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Points per Rider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0372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190500</xdr:rowOff>
    </xdr:from>
    <xdr:ext cx="6524625" cy="4019550"/>
    <xdr:pic>
      <xdr:nvPicPr>
        <xdr:cNvPr id="0" name="image5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0</xdr:row>
      <xdr:rowOff>190500</xdr:rowOff>
    </xdr:from>
    <xdr:ext cx="6753225" cy="4152900"/>
    <xdr:pic>
      <xdr:nvPicPr>
        <xdr:cNvPr id="0" name="image1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-190500</xdr:rowOff>
    </xdr:from>
    <xdr:ext cx="6638925" cy="4067175"/>
    <xdr:pic>
      <xdr:nvPicPr>
        <xdr:cNvPr id="0" name="image3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25</xdr:row>
      <xdr:rowOff>-190500</xdr:rowOff>
    </xdr:from>
    <xdr:ext cx="6753225" cy="4200525"/>
    <xdr:pic>
      <xdr:nvPicPr>
        <xdr:cNvPr id="0" name="image2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133350</xdr:rowOff>
    </xdr:from>
    <xdr:ext cx="6581775" cy="4067175"/>
    <xdr:pic>
      <xdr:nvPicPr>
        <xdr:cNvPr id="0" name="image4.pn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3</xdr:row>
      <xdr:rowOff>76200</xdr:rowOff>
    </xdr:from>
    <xdr:ext cx="5715000" cy="35337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35.0"/>
    <col customWidth="1" min="4" max="4" width="20.0"/>
    <col customWidth="1" min="5" max="5" width="10.0"/>
    <col customWidth="1" min="6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841.0</v>
      </c>
    </row>
    <row r="3">
      <c r="A3" s="3">
        <v>2.0</v>
      </c>
      <c r="B3" s="3" t="s">
        <v>8</v>
      </c>
      <c r="C3" s="3" t="s">
        <v>9</v>
      </c>
      <c r="D3" s="3" t="s">
        <v>10</v>
      </c>
      <c r="E3" s="3">
        <v>761.0</v>
      </c>
    </row>
    <row r="4">
      <c r="A4" s="2">
        <v>3.0</v>
      </c>
      <c r="B4" s="2" t="s">
        <v>11</v>
      </c>
      <c r="C4" s="2" t="s">
        <v>12</v>
      </c>
      <c r="D4" s="2" t="s">
        <v>13</v>
      </c>
      <c r="E4" s="2">
        <v>635.0</v>
      </c>
    </row>
    <row r="5">
      <c r="A5" s="3">
        <v>4.0</v>
      </c>
      <c r="B5" s="3" t="s">
        <v>14</v>
      </c>
      <c r="C5" s="3" t="s">
        <v>15</v>
      </c>
      <c r="D5" s="3" t="s">
        <v>16</v>
      </c>
      <c r="E5" s="3">
        <v>620.0</v>
      </c>
    </row>
    <row r="6">
      <c r="A6" s="2">
        <v>5.0</v>
      </c>
      <c r="B6" s="2" t="s">
        <v>17</v>
      </c>
      <c r="C6" s="2" t="s">
        <v>18</v>
      </c>
      <c r="D6" s="2" t="s">
        <v>13</v>
      </c>
      <c r="E6" s="2">
        <v>610.0</v>
      </c>
    </row>
    <row r="7">
      <c r="A7" s="3">
        <v>6.0</v>
      </c>
      <c r="B7" s="3" t="s">
        <v>19</v>
      </c>
      <c r="C7" s="3" t="s">
        <v>20</v>
      </c>
      <c r="D7" s="3" t="s">
        <v>21</v>
      </c>
      <c r="E7" s="3">
        <v>592.0</v>
      </c>
    </row>
    <row r="8">
      <c r="A8" s="2">
        <v>7.0</v>
      </c>
      <c r="B8" s="2" t="s">
        <v>22</v>
      </c>
      <c r="C8" s="2" t="s">
        <v>23</v>
      </c>
      <c r="D8" s="2" t="s">
        <v>13</v>
      </c>
      <c r="E8" s="2">
        <v>590.0</v>
      </c>
    </row>
    <row r="9">
      <c r="A9" s="3">
        <v>8.0</v>
      </c>
      <c r="B9" s="3" t="s">
        <v>24</v>
      </c>
      <c r="C9" s="3" t="s">
        <v>25</v>
      </c>
      <c r="D9" s="3" t="s">
        <v>13</v>
      </c>
      <c r="E9" s="3">
        <v>588.0</v>
      </c>
    </row>
    <row r="10">
      <c r="A10" s="2">
        <v>9.0</v>
      </c>
      <c r="B10" s="2" t="s">
        <v>26</v>
      </c>
      <c r="C10" s="2" t="s">
        <v>27</v>
      </c>
      <c r="D10" s="2" t="s">
        <v>21</v>
      </c>
      <c r="E10" s="2">
        <v>572.0</v>
      </c>
    </row>
    <row r="11">
      <c r="A11" s="3">
        <v>10.0</v>
      </c>
      <c r="B11" s="3" t="s">
        <v>28</v>
      </c>
      <c r="C11" s="3" t="s">
        <v>29</v>
      </c>
      <c r="D11" s="3" t="s">
        <v>30</v>
      </c>
      <c r="E11" s="3">
        <v>567.0</v>
      </c>
    </row>
    <row r="12">
      <c r="A12" s="2">
        <v>11.0</v>
      </c>
      <c r="B12" s="2" t="s">
        <v>31</v>
      </c>
      <c r="C12" s="2" t="s">
        <v>32</v>
      </c>
      <c r="D12" s="2" t="s">
        <v>7</v>
      </c>
      <c r="E12" s="2">
        <v>565.0</v>
      </c>
    </row>
    <row r="13">
      <c r="A13" s="3">
        <v>12.0</v>
      </c>
      <c r="B13" s="3" t="s">
        <v>33</v>
      </c>
      <c r="C13" s="3" t="s">
        <v>34</v>
      </c>
      <c r="D13" s="3" t="s">
        <v>7</v>
      </c>
      <c r="E13" s="3">
        <v>563.0</v>
      </c>
    </row>
    <row r="14">
      <c r="A14" s="2">
        <v>12.0</v>
      </c>
      <c r="B14" s="2" t="s">
        <v>35</v>
      </c>
      <c r="C14" s="2" t="s">
        <v>36</v>
      </c>
      <c r="D14" s="2" t="s">
        <v>37</v>
      </c>
      <c r="E14" s="2">
        <v>563.0</v>
      </c>
    </row>
    <row r="15">
      <c r="A15" s="3">
        <v>14.0</v>
      </c>
      <c r="B15" s="3" t="s">
        <v>38</v>
      </c>
      <c r="C15" s="3" t="s">
        <v>39</v>
      </c>
      <c r="D15" s="3" t="s">
        <v>30</v>
      </c>
      <c r="E15" s="3">
        <v>543.0</v>
      </c>
    </row>
    <row r="16">
      <c r="A16" s="2">
        <v>14.0</v>
      </c>
      <c r="B16" s="2" t="s">
        <v>8</v>
      </c>
      <c r="C16" s="2" t="s">
        <v>40</v>
      </c>
      <c r="D16" s="2" t="s">
        <v>10</v>
      </c>
      <c r="E16" s="2">
        <v>543.0</v>
      </c>
    </row>
    <row r="17">
      <c r="A17" s="3">
        <v>16.0</v>
      </c>
      <c r="B17" s="3" t="s">
        <v>41</v>
      </c>
      <c r="C17" s="3" t="s">
        <v>42</v>
      </c>
      <c r="D17" s="3" t="s">
        <v>43</v>
      </c>
      <c r="E17" s="3">
        <v>535.0</v>
      </c>
    </row>
    <row r="18">
      <c r="A18" s="2">
        <v>16.0</v>
      </c>
      <c r="B18" s="2" t="s">
        <v>44</v>
      </c>
      <c r="C18" s="2" t="s">
        <v>45</v>
      </c>
      <c r="D18" s="2" t="s">
        <v>30</v>
      </c>
      <c r="E18" s="2">
        <v>535.0</v>
      </c>
    </row>
    <row r="19">
      <c r="A19" s="3">
        <v>18.0</v>
      </c>
      <c r="B19" s="3" t="s">
        <v>46</v>
      </c>
      <c r="C19" s="3" t="s">
        <v>47</v>
      </c>
      <c r="D19" s="3" t="s">
        <v>48</v>
      </c>
      <c r="E19" s="3">
        <v>528.0</v>
      </c>
    </row>
    <row r="20">
      <c r="A20" s="2">
        <v>19.0</v>
      </c>
      <c r="B20" s="2" t="s">
        <v>49</v>
      </c>
      <c r="C20" s="2" t="s">
        <v>50</v>
      </c>
      <c r="D20" s="2" t="s">
        <v>7</v>
      </c>
      <c r="E20" s="2">
        <v>517.0</v>
      </c>
    </row>
    <row r="21" ht="15.75" customHeight="1">
      <c r="A21" s="3">
        <v>20.0</v>
      </c>
      <c r="B21" s="3" t="s">
        <v>51</v>
      </c>
      <c r="C21" s="3" t="s">
        <v>52</v>
      </c>
      <c r="D21" s="3" t="s">
        <v>53</v>
      </c>
      <c r="E21" s="3">
        <v>515.0</v>
      </c>
    </row>
    <row r="22" ht="15.75" customHeight="1">
      <c r="A22" s="2">
        <v>20.0</v>
      </c>
      <c r="B22" s="2" t="s">
        <v>11</v>
      </c>
      <c r="C22" s="2" t="s">
        <v>54</v>
      </c>
      <c r="D22" s="2" t="s">
        <v>13</v>
      </c>
      <c r="E22" s="2">
        <v>515.0</v>
      </c>
    </row>
    <row r="23" ht="15.75" customHeight="1">
      <c r="A23" s="3">
        <v>22.0</v>
      </c>
      <c r="B23" s="3" t="s">
        <v>55</v>
      </c>
      <c r="C23" s="3" t="s">
        <v>56</v>
      </c>
      <c r="D23" s="3" t="s">
        <v>13</v>
      </c>
      <c r="E23" s="3">
        <v>498.0</v>
      </c>
    </row>
    <row r="24" ht="15.75" customHeight="1">
      <c r="A24" s="2">
        <v>23.0</v>
      </c>
      <c r="B24" s="2" t="s">
        <v>57</v>
      </c>
      <c r="C24" s="2" t="s">
        <v>58</v>
      </c>
      <c r="D24" s="2" t="s">
        <v>59</v>
      </c>
      <c r="E24" s="2">
        <v>497.0</v>
      </c>
    </row>
    <row r="25" ht="15.75" customHeight="1">
      <c r="A25" s="3">
        <v>24.0</v>
      </c>
      <c r="B25" s="3" t="s">
        <v>60</v>
      </c>
      <c r="C25" s="3" t="s">
        <v>61</v>
      </c>
      <c r="D25" s="3" t="s">
        <v>30</v>
      </c>
      <c r="E25" s="3">
        <v>495.0</v>
      </c>
    </row>
    <row r="26" ht="15.75" customHeight="1">
      <c r="A26" s="2">
        <v>25.0</v>
      </c>
      <c r="B26" s="2" t="s">
        <v>62</v>
      </c>
      <c r="C26" s="2" t="s">
        <v>63</v>
      </c>
      <c r="D26" s="2" t="s">
        <v>21</v>
      </c>
      <c r="E26" s="2">
        <v>480.0</v>
      </c>
    </row>
    <row r="27" ht="15.75" customHeight="1">
      <c r="A27" s="3">
        <v>25.0</v>
      </c>
      <c r="B27" s="3" t="s">
        <v>64</v>
      </c>
      <c r="C27" s="3" t="s">
        <v>65</v>
      </c>
      <c r="D27" s="3" t="s">
        <v>66</v>
      </c>
      <c r="E27" s="3">
        <v>480.0</v>
      </c>
    </row>
    <row r="28" ht="15.75" customHeight="1">
      <c r="A28" s="2">
        <v>27.0</v>
      </c>
      <c r="B28" s="2" t="s">
        <v>31</v>
      </c>
      <c r="C28" s="2" t="s">
        <v>67</v>
      </c>
      <c r="D28" s="2" t="s">
        <v>7</v>
      </c>
      <c r="E28" s="2">
        <v>479.0</v>
      </c>
    </row>
    <row r="29" ht="15.75" customHeight="1">
      <c r="A29" s="3">
        <v>28.0</v>
      </c>
      <c r="B29" s="3" t="s">
        <v>38</v>
      </c>
      <c r="C29" s="3" t="s">
        <v>68</v>
      </c>
      <c r="D29" s="3" t="s">
        <v>30</v>
      </c>
      <c r="E29" s="3">
        <v>475.0</v>
      </c>
    </row>
    <row r="30" ht="15.75" customHeight="1">
      <c r="A30" s="2">
        <v>29.0</v>
      </c>
      <c r="B30" s="2" t="s">
        <v>69</v>
      </c>
      <c r="C30" s="2" t="s">
        <v>70</v>
      </c>
      <c r="D30" s="2" t="s">
        <v>53</v>
      </c>
      <c r="E30" s="2">
        <v>473.0</v>
      </c>
    </row>
    <row r="31" ht="15.75" customHeight="1">
      <c r="A31" s="3">
        <v>30.0</v>
      </c>
      <c r="B31" s="3" t="s">
        <v>71</v>
      </c>
      <c r="C31" s="3" t="s">
        <v>72</v>
      </c>
      <c r="D31" s="3" t="s">
        <v>73</v>
      </c>
      <c r="E31" s="3">
        <v>472.0</v>
      </c>
    </row>
    <row r="32" ht="15.75" customHeight="1">
      <c r="A32" s="2">
        <v>31.0</v>
      </c>
      <c r="B32" s="2" t="s">
        <v>74</v>
      </c>
      <c r="C32" s="2" t="s">
        <v>75</v>
      </c>
      <c r="D32" s="2" t="s">
        <v>7</v>
      </c>
      <c r="E32" s="2">
        <v>470.0</v>
      </c>
    </row>
    <row r="33" ht="15.75" customHeight="1">
      <c r="A33" s="3">
        <v>32.0</v>
      </c>
      <c r="B33" s="3" t="s">
        <v>76</v>
      </c>
      <c r="C33" s="3" t="s">
        <v>77</v>
      </c>
      <c r="D33" s="3" t="s">
        <v>78</v>
      </c>
      <c r="E33" s="3">
        <v>463.0</v>
      </c>
    </row>
    <row r="34" ht="15.75" customHeight="1">
      <c r="A34" s="2">
        <v>33.0</v>
      </c>
      <c r="B34" s="2" t="s">
        <v>79</v>
      </c>
      <c r="C34" s="2" t="s">
        <v>80</v>
      </c>
      <c r="D34" s="2" t="s">
        <v>7</v>
      </c>
      <c r="E34" s="2">
        <v>462.0</v>
      </c>
    </row>
    <row r="35" ht="15.75" customHeight="1">
      <c r="A35" s="3">
        <v>34.0</v>
      </c>
      <c r="B35" s="3" t="s">
        <v>81</v>
      </c>
      <c r="C35" s="3" t="s">
        <v>82</v>
      </c>
      <c r="D35" s="3" t="s">
        <v>83</v>
      </c>
      <c r="E35" s="3">
        <v>460.0</v>
      </c>
    </row>
    <row r="36" ht="15.75" customHeight="1">
      <c r="A36" s="2">
        <v>34.0</v>
      </c>
      <c r="B36" s="2" t="s">
        <v>84</v>
      </c>
      <c r="C36" s="2" t="s">
        <v>85</v>
      </c>
      <c r="D36" s="2" t="s">
        <v>43</v>
      </c>
      <c r="E36" s="2">
        <v>460.0</v>
      </c>
    </row>
    <row r="37" ht="15.75" customHeight="1">
      <c r="A37" s="3">
        <v>36.0</v>
      </c>
      <c r="B37" s="3" t="s">
        <v>31</v>
      </c>
      <c r="C37" s="3" t="s">
        <v>86</v>
      </c>
      <c r="D37" s="3" t="s">
        <v>7</v>
      </c>
      <c r="E37" s="3">
        <v>454.0</v>
      </c>
    </row>
    <row r="38" ht="15.75" customHeight="1">
      <c r="A38" s="2">
        <v>37.0</v>
      </c>
      <c r="B38" s="2" t="s">
        <v>87</v>
      </c>
      <c r="C38" s="2" t="s">
        <v>88</v>
      </c>
      <c r="D38" s="2" t="s">
        <v>59</v>
      </c>
      <c r="E38" s="2">
        <v>451.0</v>
      </c>
    </row>
    <row r="39" ht="15.75" customHeight="1">
      <c r="A39" s="3">
        <v>38.0</v>
      </c>
      <c r="B39" s="3" t="s">
        <v>28</v>
      </c>
      <c r="C39" s="3" t="s">
        <v>89</v>
      </c>
      <c r="D39" s="3" t="s">
        <v>30</v>
      </c>
      <c r="E39" s="3">
        <v>450.0</v>
      </c>
    </row>
    <row r="40" ht="15.75" customHeight="1">
      <c r="A40" s="2">
        <v>38.0</v>
      </c>
      <c r="B40" s="2" t="s">
        <v>90</v>
      </c>
      <c r="C40" s="2" t="s">
        <v>91</v>
      </c>
      <c r="D40" s="2" t="s">
        <v>10</v>
      </c>
      <c r="E40" s="2">
        <v>450.0</v>
      </c>
    </row>
    <row r="41" ht="15.75" customHeight="1">
      <c r="A41" s="3">
        <v>40.0</v>
      </c>
      <c r="B41" s="3" t="s">
        <v>92</v>
      </c>
      <c r="C41" s="3" t="s">
        <v>93</v>
      </c>
      <c r="D41" s="3" t="s">
        <v>7</v>
      </c>
      <c r="E41" s="3">
        <v>449.0</v>
      </c>
    </row>
    <row r="42" ht="15.75" customHeight="1">
      <c r="A42" s="2">
        <v>41.0</v>
      </c>
      <c r="B42" s="2" t="s">
        <v>94</v>
      </c>
      <c r="C42" s="2" t="s">
        <v>95</v>
      </c>
      <c r="D42" s="2" t="s">
        <v>10</v>
      </c>
      <c r="E42" s="2">
        <v>448.0</v>
      </c>
    </row>
    <row r="43" ht="15.75" customHeight="1">
      <c r="A43" s="3">
        <v>41.0</v>
      </c>
      <c r="B43" s="3" t="s">
        <v>96</v>
      </c>
      <c r="C43" s="3" t="s">
        <v>97</v>
      </c>
      <c r="D43" s="3" t="s">
        <v>13</v>
      </c>
      <c r="E43" s="3">
        <v>448.0</v>
      </c>
    </row>
    <row r="44" ht="15.75" customHeight="1">
      <c r="A44" s="2">
        <v>43.0</v>
      </c>
      <c r="B44" s="2" t="s">
        <v>98</v>
      </c>
      <c r="C44" s="2" t="s">
        <v>99</v>
      </c>
      <c r="D44" s="2" t="s">
        <v>100</v>
      </c>
      <c r="E44" s="2">
        <v>445.0</v>
      </c>
    </row>
    <row r="45" ht="15.75" customHeight="1">
      <c r="A45" s="3">
        <v>43.0</v>
      </c>
      <c r="B45" s="3" t="s">
        <v>101</v>
      </c>
      <c r="C45" s="3" t="s">
        <v>102</v>
      </c>
      <c r="D45" s="3" t="s">
        <v>10</v>
      </c>
      <c r="E45" s="3">
        <v>445.0</v>
      </c>
    </row>
    <row r="46" ht="15.75" customHeight="1">
      <c r="A46" s="2">
        <v>45.0</v>
      </c>
      <c r="B46" s="2" t="s">
        <v>33</v>
      </c>
      <c r="C46" s="2" t="s">
        <v>103</v>
      </c>
      <c r="D46" s="2" t="s">
        <v>7</v>
      </c>
      <c r="E46" s="2">
        <v>435.0</v>
      </c>
    </row>
    <row r="47" ht="15.75" customHeight="1">
      <c r="A47" s="3">
        <v>46.0</v>
      </c>
      <c r="B47" s="3" t="s">
        <v>104</v>
      </c>
      <c r="C47" s="3" t="s">
        <v>105</v>
      </c>
      <c r="D47" s="3" t="s">
        <v>13</v>
      </c>
      <c r="E47" s="3">
        <v>428.0</v>
      </c>
    </row>
    <row r="48" ht="15.75" customHeight="1">
      <c r="A48" s="2">
        <v>47.0</v>
      </c>
      <c r="B48" s="2" t="s">
        <v>106</v>
      </c>
      <c r="C48" s="2" t="s">
        <v>107</v>
      </c>
      <c r="D48" s="2" t="s">
        <v>59</v>
      </c>
      <c r="E48" s="2">
        <v>426.0</v>
      </c>
    </row>
    <row r="49" ht="15.75" customHeight="1">
      <c r="A49" s="3">
        <v>48.0</v>
      </c>
      <c r="B49" s="3" t="s">
        <v>49</v>
      </c>
      <c r="C49" s="3" t="s">
        <v>108</v>
      </c>
      <c r="D49" s="3" t="s">
        <v>7</v>
      </c>
      <c r="E49" s="3">
        <v>425.0</v>
      </c>
    </row>
    <row r="50" ht="15.75" customHeight="1">
      <c r="A50" s="2">
        <v>48.0</v>
      </c>
      <c r="B50" s="2" t="s">
        <v>109</v>
      </c>
      <c r="C50" s="2" t="s">
        <v>110</v>
      </c>
      <c r="D50" s="2" t="s">
        <v>43</v>
      </c>
      <c r="E50" s="2">
        <v>425.0</v>
      </c>
    </row>
    <row r="51" ht="15.75" customHeight="1">
      <c r="A51" s="3">
        <v>50.0</v>
      </c>
      <c r="B51" s="3" t="s">
        <v>111</v>
      </c>
      <c r="C51" s="3" t="s">
        <v>112</v>
      </c>
      <c r="D51" s="3" t="s">
        <v>10</v>
      </c>
      <c r="E51" s="3">
        <v>424.0</v>
      </c>
    </row>
    <row r="52" ht="15.75" customHeight="1">
      <c r="A52" s="2">
        <v>51.0</v>
      </c>
      <c r="B52" s="2" t="s">
        <v>60</v>
      </c>
      <c r="C52" s="2" t="s">
        <v>113</v>
      </c>
      <c r="D52" s="2" t="s">
        <v>30</v>
      </c>
      <c r="E52" s="2">
        <v>423.0</v>
      </c>
    </row>
    <row r="53" ht="15.75" customHeight="1">
      <c r="A53" s="3">
        <v>52.0</v>
      </c>
      <c r="B53" s="3" t="s">
        <v>60</v>
      </c>
      <c r="C53" s="3" t="s">
        <v>114</v>
      </c>
      <c r="D53" s="3" t="s">
        <v>30</v>
      </c>
      <c r="E53" s="3">
        <v>422.0</v>
      </c>
    </row>
    <row r="54" ht="15.75" customHeight="1">
      <c r="A54" s="2">
        <v>53.0</v>
      </c>
      <c r="B54" s="2" t="s">
        <v>115</v>
      </c>
      <c r="C54" s="2" t="s">
        <v>116</v>
      </c>
      <c r="D54" s="2" t="s">
        <v>10</v>
      </c>
      <c r="E54" s="2">
        <v>421.0</v>
      </c>
    </row>
    <row r="55" ht="15.75" customHeight="1">
      <c r="A55" s="3">
        <v>54.0</v>
      </c>
      <c r="B55" s="3" t="s">
        <v>117</v>
      </c>
      <c r="C55" s="3" t="s">
        <v>118</v>
      </c>
      <c r="D55" s="3" t="s">
        <v>119</v>
      </c>
      <c r="E55" s="3">
        <v>420.0</v>
      </c>
    </row>
    <row r="56" ht="15.75" customHeight="1">
      <c r="A56" s="2">
        <v>54.0</v>
      </c>
      <c r="B56" s="2" t="s">
        <v>120</v>
      </c>
      <c r="C56" s="2" t="s">
        <v>121</v>
      </c>
      <c r="D56" s="2" t="s">
        <v>122</v>
      </c>
      <c r="E56" s="2">
        <v>420.0</v>
      </c>
    </row>
    <row r="57" ht="15.75" customHeight="1">
      <c r="A57" s="3">
        <v>54.0</v>
      </c>
      <c r="B57" s="3" t="s">
        <v>123</v>
      </c>
      <c r="C57" s="3" t="s">
        <v>124</v>
      </c>
      <c r="D57" s="3" t="s">
        <v>7</v>
      </c>
      <c r="E57" s="3">
        <v>420.0</v>
      </c>
    </row>
    <row r="58" ht="15.75" customHeight="1">
      <c r="A58" s="2">
        <v>57.0</v>
      </c>
      <c r="B58" s="2" t="s">
        <v>26</v>
      </c>
      <c r="C58" s="2" t="s">
        <v>125</v>
      </c>
      <c r="D58" s="2" t="s">
        <v>21</v>
      </c>
      <c r="E58" s="2">
        <v>418.0</v>
      </c>
    </row>
    <row r="59" ht="15.75" customHeight="1">
      <c r="A59" s="3">
        <v>58.0</v>
      </c>
      <c r="B59" s="3" t="s">
        <v>126</v>
      </c>
      <c r="C59" s="3" t="s">
        <v>127</v>
      </c>
      <c r="D59" s="3" t="s">
        <v>21</v>
      </c>
      <c r="E59" s="3">
        <v>415.0</v>
      </c>
    </row>
    <row r="60" ht="15.75" customHeight="1">
      <c r="A60" s="2">
        <v>59.0</v>
      </c>
      <c r="B60" s="2" t="s">
        <v>128</v>
      </c>
      <c r="C60" s="2" t="s">
        <v>129</v>
      </c>
      <c r="D60" s="2" t="s">
        <v>78</v>
      </c>
      <c r="E60" s="2">
        <v>410.0</v>
      </c>
    </row>
    <row r="61" ht="15.75" customHeight="1">
      <c r="A61" s="3">
        <v>60.0</v>
      </c>
      <c r="B61" s="3" t="s">
        <v>130</v>
      </c>
      <c r="C61" s="3" t="s">
        <v>131</v>
      </c>
      <c r="D61" s="3" t="s">
        <v>10</v>
      </c>
      <c r="E61" s="3">
        <v>405.0</v>
      </c>
    </row>
    <row r="62" ht="15.75" customHeight="1">
      <c r="A62" s="2">
        <v>60.0</v>
      </c>
      <c r="B62" s="2" t="s">
        <v>132</v>
      </c>
      <c r="C62" s="2" t="s">
        <v>133</v>
      </c>
      <c r="D62" s="2" t="s">
        <v>83</v>
      </c>
      <c r="E62" s="2">
        <v>405.0</v>
      </c>
    </row>
    <row r="63" ht="15.75" customHeight="1">
      <c r="A63" s="3">
        <v>62.0</v>
      </c>
      <c r="B63" s="3" t="s">
        <v>134</v>
      </c>
      <c r="C63" s="3" t="s">
        <v>135</v>
      </c>
      <c r="D63" s="3" t="s">
        <v>136</v>
      </c>
      <c r="E63" s="3">
        <v>404.0</v>
      </c>
    </row>
    <row r="64" ht="15.75" customHeight="1">
      <c r="A64" s="2">
        <v>63.0</v>
      </c>
      <c r="B64" s="2" t="s">
        <v>137</v>
      </c>
      <c r="C64" s="2" t="s">
        <v>138</v>
      </c>
      <c r="D64" s="2" t="s">
        <v>139</v>
      </c>
      <c r="E64" s="2">
        <v>400.0</v>
      </c>
    </row>
    <row r="65" ht="15.75" customHeight="1">
      <c r="A65" s="3">
        <v>63.0</v>
      </c>
      <c r="B65" s="3" t="s">
        <v>140</v>
      </c>
      <c r="C65" s="3" t="s">
        <v>141</v>
      </c>
      <c r="D65" s="3" t="s">
        <v>142</v>
      </c>
      <c r="E65" s="3">
        <v>400.0</v>
      </c>
    </row>
    <row r="66" ht="15.75" customHeight="1">
      <c r="A66" s="2">
        <v>63.0</v>
      </c>
      <c r="B66" s="2" t="s">
        <v>143</v>
      </c>
      <c r="C66" s="2" t="s">
        <v>144</v>
      </c>
      <c r="D66" s="2" t="s">
        <v>21</v>
      </c>
      <c r="E66" s="2">
        <v>400.0</v>
      </c>
    </row>
    <row r="67" ht="15.75" customHeight="1">
      <c r="A67" s="3">
        <v>63.0</v>
      </c>
      <c r="B67" s="3" t="s">
        <v>145</v>
      </c>
      <c r="C67" s="3" t="s">
        <v>146</v>
      </c>
      <c r="D67" s="3" t="s">
        <v>59</v>
      </c>
      <c r="E67" s="3">
        <v>400.0</v>
      </c>
    </row>
    <row r="68" ht="15.75" customHeight="1">
      <c r="A68" s="2">
        <v>63.0</v>
      </c>
      <c r="B68" s="2" t="s">
        <v>35</v>
      </c>
      <c r="C68" s="2" t="s">
        <v>147</v>
      </c>
      <c r="D68" s="2" t="s">
        <v>37</v>
      </c>
      <c r="E68" s="2">
        <v>400.0</v>
      </c>
    </row>
    <row r="69" ht="15.75" customHeight="1">
      <c r="A69" s="3">
        <v>68.0</v>
      </c>
      <c r="B69" s="3" t="s">
        <v>148</v>
      </c>
      <c r="C69" s="3" t="s">
        <v>149</v>
      </c>
      <c r="D69" s="3" t="s">
        <v>13</v>
      </c>
      <c r="E69" s="3">
        <v>395.0</v>
      </c>
    </row>
    <row r="70" ht="15.75" customHeight="1">
      <c r="A70" s="2">
        <v>68.0</v>
      </c>
      <c r="B70" s="2" t="s">
        <v>140</v>
      </c>
      <c r="C70" s="2" t="s">
        <v>150</v>
      </c>
      <c r="D70" s="2" t="s">
        <v>142</v>
      </c>
      <c r="E70" s="2">
        <v>395.0</v>
      </c>
    </row>
    <row r="71" ht="15.75" customHeight="1">
      <c r="A71" s="3">
        <v>68.0</v>
      </c>
      <c r="B71" s="3" t="s">
        <v>17</v>
      </c>
      <c r="C71" s="3" t="s">
        <v>151</v>
      </c>
      <c r="D71" s="3" t="s">
        <v>13</v>
      </c>
      <c r="E71" s="3">
        <v>395.0</v>
      </c>
    </row>
    <row r="72" ht="15.75" customHeight="1">
      <c r="A72" s="2">
        <v>68.0</v>
      </c>
      <c r="B72" s="2" t="s">
        <v>152</v>
      </c>
      <c r="C72" s="2" t="s">
        <v>153</v>
      </c>
      <c r="D72" s="2" t="s">
        <v>100</v>
      </c>
      <c r="E72" s="2">
        <v>395.0</v>
      </c>
    </row>
    <row r="73" ht="15.75" customHeight="1">
      <c r="A73" s="3">
        <v>68.0</v>
      </c>
      <c r="B73" s="3" t="s">
        <v>154</v>
      </c>
      <c r="C73" s="3" t="s">
        <v>155</v>
      </c>
      <c r="D73" s="3" t="s">
        <v>122</v>
      </c>
      <c r="E73" s="3">
        <v>395.0</v>
      </c>
    </row>
    <row r="74" ht="15.75" customHeight="1">
      <c r="A74" s="2">
        <v>73.0</v>
      </c>
      <c r="B74" s="2" t="s">
        <v>76</v>
      </c>
      <c r="C74" s="2" t="s">
        <v>156</v>
      </c>
      <c r="D74" s="2" t="s">
        <v>78</v>
      </c>
      <c r="E74" s="2">
        <v>393.0</v>
      </c>
    </row>
    <row r="75" ht="15.75" customHeight="1">
      <c r="A75" s="3">
        <v>74.0</v>
      </c>
      <c r="B75" s="3" t="s">
        <v>157</v>
      </c>
      <c r="C75" s="3" t="s">
        <v>158</v>
      </c>
      <c r="D75" s="3" t="s">
        <v>7</v>
      </c>
      <c r="E75" s="3">
        <v>390.0</v>
      </c>
    </row>
    <row r="76" ht="15.75" customHeight="1">
      <c r="A76" s="2">
        <v>75.0</v>
      </c>
      <c r="B76" s="2" t="s">
        <v>159</v>
      </c>
      <c r="C76" s="2" t="s">
        <v>160</v>
      </c>
      <c r="D76" s="2" t="s">
        <v>10</v>
      </c>
      <c r="E76" s="2">
        <v>388.0</v>
      </c>
    </row>
    <row r="77" ht="15.75" customHeight="1">
      <c r="A77" s="3">
        <v>76.0</v>
      </c>
      <c r="B77" s="3" t="s">
        <v>161</v>
      </c>
      <c r="C77" s="3" t="s">
        <v>162</v>
      </c>
      <c r="D77" s="3" t="s">
        <v>83</v>
      </c>
      <c r="E77" s="3">
        <v>385.0</v>
      </c>
    </row>
    <row r="78" ht="15.75" customHeight="1">
      <c r="A78" s="2">
        <v>79.0</v>
      </c>
      <c r="B78" s="2" t="s">
        <v>163</v>
      </c>
      <c r="C78" s="2" t="s">
        <v>164</v>
      </c>
      <c r="D78" s="2" t="s">
        <v>30</v>
      </c>
      <c r="E78" s="2">
        <v>381.0</v>
      </c>
    </row>
    <row r="79" ht="15.75" customHeight="1">
      <c r="A79" s="3">
        <v>80.0</v>
      </c>
      <c r="B79" s="3" t="s">
        <v>165</v>
      </c>
      <c r="C79" s="3" t="s">
        <v>166</v>
      </c>
      <c r="D79" s="3" t="s">
        <v>167</v>
      </c>
      <c r="E79" s="3">
        <v>380.0</v>
      </c>
    </row>
    <row r="80" ht="15.75" customHeight="1">
      <c r="A80" s="2">
        <v>80.0</v>
      </c>
      <c r="B80" s="2" t="s">
        <v>41</v>
      </c>
      <c r="C80" s="2" t="s">
        <v>168</v>
      </c>
      <c r="D80" s="2" t="s">
        <v>43</v>
      </c>
      <c r="E80" s="2">
        <v>380.0</v>
      </c>
    </row>
    <row r="81" ht="15.75" customHeight="1">
      <c r="A81" s="3">
        <v>82.0</v>
      </c>
      <c r="B81" s="3" t="s">
        <v>169</v>
      </c>
      <c r="C81" s="3" t="s">
        <v>170</v>
      </c>
      <c r="D81" s="3" t="s">
        <v>7</v>
      </c>
      <c r="E81" s="3">
        <v>377.0</v>
      </c>
    </row>
    <row r="82" ht="15.75" customHeight="1">
      <c r="A82" s="2">
        <v>83.0</v>
      </c>
      <c r="B82" s="2" t="s">
        <v>171</v>
      </c>
      <c r="C82" s="2" t="s">
        <v>172</v>
      </c>
      <c r="D82" s="2" t="s">
        <v>21</v>
      </c>
      <c r="E82" s="2">
        <v>375.0</v>
      </c>
    </row>
    <row r="83" ht="15.75" customHeight="1">
      <c r="A83" s="3">
        <v>83.0</v>
      </c>
      <c r="B83" s="3" t="s">
        <v>173</v>
      </c>
      <c r="C83" s="3" t="s">
        <v>174</v>
      </c>
      <c r="D83" s="3" t="s">
        <v>59</v>
      </c>
      <c r="E83" s="3">
        <v>375.0</v>
      </c>
    </row>
    <row r="84" ht="15.75" customHeight="1">
      <c r="A84" s="2">
        <v>83.0</v>
      </c>
      <c r="B84" s="2" t="s">
        <v>175</v>
      </c>
      <c r="C84" s="2" t="s">
        <v>176</v>
      </c>
      <c r="D84" s="2" t="s">
        <v>122</v>
      </c>
      <c r="E84" s="2">
        <v>375.0</v>
      </c>
    </row>
    <row r="85" ht="15.75" customHeight="1">
      <c r="A85" s="3">
        <v>86.0</v>
      </c>
      <c r="B85" s="3" t="s">
        <v>177</v>
      </c>
      <c r="C85" s="3" t="s">
        <v>178</v>
      </c>
      <c r="D85" s="3" t="s">
        <v>13</v>
      </c>
      <c r="E85" s="3">
        <v>370.0</v>
      </c>
    </row>
    <row r="86" ht="15.75" customHeight="1">
      <c r="A86" s="2">
        <v>86.0</v>
      </c>
      <c r="B86" s="2" t="s">
        <v>179</v>
      </c>
      <c r="C86" s="2" t="s">
        <v>180</v>
      </c>
      <c r="D86" s="2" t="s">
        <v>30</v>
      </c>
      <c r="E86" s="2">
        <v>370.0</v>
      </c>
    </row>
    <row r="87" ht="15.75" customHeight="1">
      <c r="A87" s="3">
        <v>86.0</v>
      </c>
      <c r="B87" s="3" t="s">
        <v>181</v>
      </c>
      <c r="C87" s="3" t="s">
        <v>182</v>
      </c>
      <c r="D87" s="3" t="s">
        <v>16</v>
      </c>
      <c r="E87" s="3">
        <v>370.0</v>
      </c>
    </row>
    <row r="88" ht="15.75" customHeight="1">
      <c r="A88" s="2">
        <v>86.0</v>
      </c>
      <c r="B88" s="2" t="s">
        <v>183</v>
      </c>
      <c r="C88" s="2" t="s">
        <v>184</v>
      </c>
      <c r="D88" s="2" t="s">
        <v>7</v>
      </c>
      <c r="E88" s="2">
        <v>370.0</v>
      </c>
    </row>
    <row r="89" ht="15.75" customHeight="1">
      <c r="A89" s="3">
        <v>86.0</v>
      </c>
      <c r="B89" s="3" t="s">
        <v>185</v>
      </c>
      <c r="C89" s="3" t="s">
        <v>186</v>
      </c>
      <c r="D89" s="3" t="s">
        <v>122</v>
      </c>
      <c r="E89" s="3">
        <v>370.0</v>
      </c>
    </row>
    <row r="90" ht="15.75" customHeight="1">
      <c r="A90" s="2">
        <v>86.0</v>
      </c>
      <c r="B90" s="2" t="s">
        <v>187</v>
      </c>
      <c r="C90" s="2" t="s">
        <v>188</v>
      </c>
      <c r="D90" s="2" t="s">
        <v>43</v>
      </c>
      <c r="E90" s="2">
        <v>370.0</v>
      </c>
    </row>
    <row r="91" ht="15.75" customHeight="1">
      <c r="A91" s="3">
        <v>86.0</v>
      </c>
      <c r="B91" s="3" t="s">
        <v>189</v>
      </c>
      <c r="C91" s="3" t="s">
        <v>190</v>
      </c>
      <c r="D91" s="3" t="s">
        <v>53</v>
      </c>
      <c r="E91" s="3">
        <v>370.0</v>
      </c>
    </row>
    <row r="92" ht="15.75" customHeight="1">
      <c r="A92" s="2">
        <v>93.0</v>
      </c>
      <c r="B92" s="2" t="s">
        <v>44</v>
      </c>
      <c r="C92" s="2" t="s">
        <v>191</v>
      </c>
      <c r="D92" s="2" t="s">
        <v>30</v>
      </c>
      <c r="E92" s="2">
        <v>365.0</v>
      </c>
    </row>
    <row r="93" ht="15.75" customHeight="1">
      <c r="A93" s="3">
        <v>93.0</v>
      </c>
      <c r="B93" s="3" t="s">
        <v>192</v>
      </c>
      <c r="C93" s="3" t="s">
        <v>193</v>
      </c>
      <c r="D93" s="3" t="s">
        <v>16</v>
      </c>
      <c r="E93" s="3">
        <v>365.0</v>
      </c>
    </row>
    <row r="94" ht="15.75" customHeight="1">
      <c r="A94" s="2">
        <v>93.0</v>
      </c>
      <c r="B94" s="2" t="s">
        <v>194</v>
      </c>
      <c r="C94" s="2" t="s">
        <v>195</v>
      </c>
      <c r="D94" s="2" t="s">
        <v>21</v>
      </c>
      <c r="E94" s="2">
        <v>365.0</v>
      </c>
    </row>
    <row r="95" ht="15.75" customHeight="1">
      <c r="A95" s="3">
        <v>93.0</v>
      </c>
      <c r="B95" s="3" t="s">
        <v>196</v>
      </c>
      <c r="C95" s="3" t="s">
        <v>197</v>
      </c>
      <c r="D95" s="3" t="s">
        <v>10</v>
      </c>
      <c r="E95" s="3">
        <v>365.0</v>
      </c>
    </row>
    <row r="96" ht="15.75" customHeight="1">
      <c r="A96" s="2">
        <v>97.0</v>
      </c>
      <c r="B96" s="2" t="s">
        <v>198</v>
      </c>
      <c r="C96" s="2" t="s">
        <v>199</v>
      </c>
      <c r="D96" s="2" t="s">
        <v>10</v>
      </c>
      <c r="E96" s="2">
        <v>360.0</v>
      </c>
    </row>
    <row r="97" ht="15.75" customHeight="1">
      <c r="A97" s="3">
        <v>97.0</v>
      </c>
      <c r="B97" s="3" t="s">
        <v>200</v>
      </c>
      <c r="C97" s="3" t="s">
        <v>201</v>
      </c>
      <c r="D97" s="3" t="s">
        <v>122</v>
      </c>
      <c r="E97" s="3">
        <v>360.0</v>
      </c>
    </row>
    <row r="98" ht="15.75" customHeight="1">
      <c r="A98" s="2">
        <v>97.0</v>
      </c>
      <c r="B98" s="2" t="s">
        <v>202</v>
      </c>
      <c r="C98" s="2" t="s">
        <v>203</v>
      </c>
      <c r="D98" s="2" t="s">
        <v>21</v>
      </c>
      <c r="E98" s="2">
        <v>360.0</v>
      </c>
    </row>
    <row r="99" ht="15.75" customHeight="1">
      <c r="A99" s="3">
        <v>97.0</v>
      </c>
      <c r="B99" s="3" t="s">
        <v>204</v>
      </c>
      <c r="C99" s="3" t="s">
        <v>205</v>
      </c>
      <c r="D99" s="3" t="s">
        <v>206</v>
      </c>
      <c r="E99" s="3">
        <v>360.0</v>
      </c>
    </row>
    <row r="100" ht="15.75" customHeight="1">
      <c r="A100" s="2">
        <v>97.0</v>
      </c>
      <c r="B100" s="2" t="s">
        <v>207</v>
      </c>
      <c r="C100" s="2" t="s">
        <v>208</v>
      </c>
      <c r="D100" s="2" t="s">
        <v>43</v>
      </c>
      <c r="E100" s="2">
        <v>360.0</v>
      </c>
    </row>
    <row r="101" ht="15.75" customHeight="1">
      <c r="A101" s="3">
        <v>97.0</v>
      </c>
      <c r="B101" s="3" t="s">
        <v>209</v>
      </c>
      <c r="C101" s="3" t="s">
        <v>210</v>
      </c>
      <c r="D101" s="3" t="s">
        <v>43</v>
      </c>
      <c r="E101" s="3">
        <v>360.0</v>
      </c>
    </row>
    <row r="102" ht="15.75" customHeight="1">
      <c r="A102" s="2">
        <v>103.0</v>
      </c>
      <c r="B102" s="2" t="s">
        <v>211</v>
      </c>
      <c r="C102" s="2" t="s">
        <v>212</v>
      </c>
      <c r="D102" s="2" t="s">
        <v>10</v>
      </c>
      <c r="E102" s="2">
        <v>358.0</v>
      </c>
    </row>
    <row r="103" ht="15.75" customHeight="1">
      <c r="A103" s="3">
        <v>103.0</v>
      </c>
      <c r="B103" s="3" t="s">
        <v>213</v>
      </c>
      <c r="C103" s="3" t="s">
        <v>214</v>
      </c>
      <c r="D103" s="3" t="s">
        <v>10</v>
      </c>
      <c r="E103" s="3">
        <v>358.0</v>
      </c>
    </row>
    <row r="104" ht="15.75" customHeight="1">
      <c r="A104" s="2">
        <v>103.0</v>
      </c>
      <c r="B104" s="2" t="s">
        <v>26</v>
      </c>
      <c r="C104" s="2" t="s">
        <v>215</v>
      </c>
      <c r="D104" s="2" t="s">
        <v>21</v>
      </c>
      <c r="E104" s="2">
        <v>358.0</v>
      </c>
    </row>
    <row r="105" ht="15.75" customHeight="1">
      <c r="A105" s="3">
        <v>106.0</v>
      </c>
      <c r="B105" s="3" t="s">
        <v>216</v>
      </c>
      <c r="C105" s="3" t="s">
        <v>217</v>
      </c>
      <c r="D105" s="3" t="s">
        <v>7</v>
      </c>
      <c r="E105" s="3">
        <v>357.0</v>
      </c>
    </row>
    <row r="106" ht="15.75" customHeight="1">
      <c r="A106" s="2">
        <v>107.0</v>
      </c>
      <c r="B106" s="2" t="s">
        <v>194</v>
      </c>
      <c r="C106" s="2" t="s">
        <v>218</v>
      </c>
      <c r="D106" s="2" t="s">
        <v>21</v>
      </c>
      <c r="E106" s="2">
        <v>350.0</v>
      </c>
    </row>
    <row r="107" ht="15.75" customHeight="1">
      <c r="A107" s="3">
        <v>107.0</v>
      </c>
      <c r="B107" s="3" t="s">
        <v>219</v>
      </c>
      <c r="C107" s="3" t="s">
        <v>220</v>
      </c>
      <c r="D107" s="3" t="s">
        <v>221</v>
      </c>
      <c r="E107" s="3">
        <v>350.0</v>
      </c>
    </row>
    <row r="108" ht="15.75" customHeight="1">
      <c r="A108" s="2">
        <v>109.0</v>
      </c>
      <c r="B108" s="2" t="s">
        <v>222</v>
      </c>
      <c r="C108" s="2" t="s">
        <v>223</v>
      </c>
      <c r="D108" s="2" t="s">
        <v>21</v>
      </c>
      <c r="E108" s="2">
        <v>347.0</v>
      </c>
    </row>
    <row r="109" ht="15.75" customHeight="1">
      <c r="A109" s="3">
        <v>110.0</v>
      </c>
      <c r="B109" s="3" t="s">
        <v>224</v>
      </c>
      <c r="C109" s="3" t="s">
        <v>225</v>
      </c>
      <c r="D109" s="3" t="s">
        <v>13</v>
      </c>
      <c r="E109" s="3">
        <v>345.0</v>
      </c>
    </row>
    <row r="110" ht="15.75" customHeight="1">
      <c r="A110" s="2">
        <v>110.0</v>
      </c>
      <c r="B110" s="2" t="s">
        <v>226</v>
      </c>
      <c r="C110" s="2" t="s">
        <v>227</v>
      </c>
      <c r="D110" s="2" t="s">
        <v>43</v>
      </c>
      <c r="E110" s="2">
        <v>345.0</v>
      </c>
    </row>
    <row r="111" ht="15.75" customHeight="1">
      <c r="A111" s="3">
        <v>110.0</v>
      </c>
      <c r="B111" s="3" t="s">
        <v>228</v>
      </c>
      <c r="C111" s="3" t="s">
        <v>229</v>
      </c>
      <c r="D111" s="3" t="s">
        <v>30</v>
      </c>
      <c r="E111" s="3">
        <v>345.0</v>
      </c>
    </row>
    <row r="112" ht="15.75" customHeight="1">
      <c r="A112" s="2">
        <v>110.0</v>
      </c>
      <c r="B112" s="2" t="s">
        <v>230</v>
      </c>
      <c r="C112" s="2" t="s">
        <v>231</v>
      </c>
      <c r="D112" s="2" t="s">
        <v>232</v>
      </c>
      <c r="E112" s="2">
        <v>345.0</v>
      </c>
    </row>
    <row r="113" ht="15.75" customHeight="1">
      <c r="A113" s="3">
        <v>114.0</v>
      </c>
      <c r="B113" s="3" t="s">
        <v>101</v>
      </c>
      <c r="C113" s="3" t="s">
        <v>233</v>
      </c>
      <c r="D113" s="3" t="s">
        <v>10</v>
      </c>
      <c r="E113" s="3">
        <v>342.0</v>
      </c>
    </row>
    <row r="114" ht="15.75" customHeight="1">
      <c r="A114" s="2">
        <v>114.0</v>
      </c>
      <c r="B114" s="2" t="s">
        <v>222</v>
      </c>
      <c r="C114" s="2" t="s">
        <v>234</v>
      </c>
      <c r="D114" s="2" t="s">
        <v>21</v>
      </c>
      <c r="E114" s="2">
        <v>342.0</v>
      </c>
    </row>
    <row r="115" ht="15.75" customHeight="1">
      <c r="A115" s="3">
        <v>116.0</v>
      </c>
      <c r="B115" s="3" t="s">
        <v>130</v>
      </c>
      <c r="C115" s="3" t="s">
        <v>235</v>
      </c>
      <c r="D115" s="3" t="s">
        <v>10</v>
      </c>
      <c r="E115" s="3">
        <v>340.0</v>
      </c>
    </row>
    <row r="116" ht="15.75" customHeight="1">
      <c r="A116" s="2">
        <v>116.0</v>
      </c>
      <c r="B116" s="2" t="s">
        <v>19</v>
      </c>
      <c r="C116" s="2" t="s">
        <v>236</v>
      </c>
      <c r="D116" s="2" t="s">
        <v>21</v>
      </c>
      <c r="E116" s="2">
        <v>340.0</v>
      </c>
    </row>
    <row r="117" ht="15.75" customHeight="1">
      <c r="A117" s="3">
        <v>116.0</v>
      </c>
      <c r="B117" s="3" t="s">
        <v>192</v>
      </c>
      <c r="C117" s="3" t="s">
        <v>237</v>
      </c>
      <c r="D117" s="3" t="s">
        <v>16</v>
      </c>
      <c r="E117" s="3">
        <v>340.0</v>
      </c>
    </row>
    <row r="118" ht="15.75" customHeight="1">
      <c r="A118" s="2">
        <v>116.0</v>
      </c>
      <c r="B118" s="2" t="s">
        <v>238</v>
      </c>
      <c r="C118" s="2" t="s">
        <v>239</v>
      </c>
      <c r="D118" s="2" t="s">
        <v>7</v>
      </c>
      <c r="E118" s="2">
        <v>340.0</v>
      </c>
    </row>
    <row r="119" ht="15.75" customHeight="1">
      <c r="A119" s="3">
        <v>116.0</v>
      </c>
      <c r="B119" s="3" t="s">
        <v>101</v>
      </c>
      <c r="C119" s="3" t="s">
        <v>240</v>
      </c>
      <c r="D119" s="3" t="s">
        <v>10</v>
      </c>
      <c r="E119" s="3">
        <v>340.0</v>
      </c>
    </row>
    <row r="120" ht="15.75" customHeight="1">
      <c r="A120" s="2">
        <v>116.0</v>
      </c>
      <c r="B120" s="2" t="s">
        <v>74</v>
      </c>
      <c r="C120" s="2" t="s">
        <v>241</v>
      </c>
      <c r="D120" s="2" t="s">
        <v>7</v>
      </c>
      <c r="E120" s="2">
        <v>340.0</v>
      </c>
    </row>
    <row r="121" ht="15.75" customHeight="1">
      <c r="A121" s="3">
        <v>116.0</v>
      </c>
      <c r="B121" s="3" t="s">
        <v>242</v>
      </c>
      <c r="C121" s="3" t="s">
        <v>243</v>
      </c>
      <c r="D121" s="3" t="s">
        <v>244</v>
      </c>
      <c r="E121" s="3">
        <v>340.0</v>
      </c>
    </row>
    <row r="122" ht="15.75" customHeight="1">
      <c r="A122" s="2">
        <v>123.0</v>
      </c>
      <c r="B122" s="2" t="s">
        <v>245</v>
      </c>
      <c r="C122" s="2" t="s">
        <v>246</v>
      </c>
      <c r="D122" s="2" t="s">
        <v>7</v>
      </c>
      <c r="E122" s="2">
        <v>339.0</v>
      </c>
    </row>
    <row r="123" ht="15.75" customHeight="1">
      <c r="A123" s="3">
        <v>124.0</v>
      </c>
      <c r="B123" s="3" t="s">
        <v>247</v>
      </c>
      <c r="C123" s="3" t="s">
        <v>248</v>
      </c>
      <c r="D123" s="3" t="s">
        <v>100</v>
      </c>
      <c r="E123" s="3">
        <v>338.0</v>
      </c>
    </row>
    <row r="124" ht="15.75" customHeight="1">
      <c r="A124" s="2">
        <v>125.0</v>
      </c>
      <c r="B124" s="2" t="s">
        <v>94</v>
      </c>
      <c r="C124" s="2" t="s">
        <v>249</v>
      </c>
      <c r="D124" s="2" t="s">
        <v>10</v>
      </c>
      <c r="E124" s="2">
        <v>335.0</v>
      </c>
    </row>
    <row r="125" ht="15.75" customHeight="1">
      <c r="A125" s="3">
        <v>125.0</v>
      </c>
      <c r="B125" s="3" t="s">
        <v>165</v>
      </c>
      <c r="C125" s="3" t="s">
        <v>250</v>
      </c>
      <c r="D125" s="3" t="s">
        <v>167</v>
      </c>
      <c r="E125" s="3">
        <v>335.0</v>
      </c>
    </row>
    <row r="126" ht="15.75" customHeight="1">
      <c r="A126" s="2">
        <v>125.0</v>
      </c>
      <c r="B126" s="2" t="s">
        <v>19</v>
      </c>
      <c r="C126" s="2" t="s">
        <v>251</v>
      </c>
      <c r="D126" s="2" t="s">
        <v>21</v>
      </c>
      <c r="E126" s="2">
        <v>335.0</v>
      </c>
    </row>
    <row r="127" ht="15.75" customHeight="1">
      <c r="A127" s="3">
        <v>125.0</v>
      </c>
      <c r="B127" s="3" t="s">
        <v>252</v>
      </c>
      <c r="C127" s="3" t="s">
        <v>253</v>
      </c>
      <c r="D127" s="3" t="s">
        <v>122</v>
      </c>
      <c r="E127" s="3">
        <v>335.0</v>
      </c>
    </row>
    <row r="128" ht="15.75" customHeight="1">
      <c r="A128" s="2">
        <v>125.0</v>
      </c>
      <c r="B128" s="2" t="s">
        <v>254</v>
      </c>
      <c r="C128" s="2" t="s">
        <v>255</v>
      </c>
      <c r="D128" s="2" t="s">
        <v>59</v>
      </c>
      <c r="E128" s="2">
        <v>335.0</v>
      </c>
    </row>
    <row r="129" ht="15.75" customHeight="1">
      <c r="A129" s="3">
        <v>125.0</v>
      </c>
      <c r="B129" s="3" t="s">
        <v>5</v>
      </c>
      <c r="C129" s="3" t="s">
        <v>256</v>
      </c>
      <c r="D129" s="3" t="s">
        <v>7</v>
      </c>
      <c r="E129" s="3">
        <v>335.0</v>
      </c>
    </row>
    <row r="130" ht="15.75" customHeight="1">
      <c r="A130" s="2">
        <v>131.0</v>
      </c>
      <c r="B130" s="2" t="s">
        <v>148</v>
      </c>
      <c r="C130" s="2" t="s">
        <v>257</v>
      </c>
      <c r="D130" s="2" t="s">
        <v>13</v>
      </c>
      <c r="E130" s="2">
        <v>333.0</v>
      </c>
    </row>
    <row r="131" ht="15.75" customHeight="1">
      <c r="A131" s="3">
        <v>132.0</v>
      </c>
      <c r="B131" s="3" t="s">
        <v>258</v>
      </c>
      <c r="C131" s="3" t="s">
        <v>259</v>
      </c>
      <c r="D131" s="3" t="s">
        <v>7</v>
      </c>
      <c r="E131" s="3">
        <v>330.0</v>
      </c>
    </row>
    <row r="132" ht="15.75" customHeight="1">
      <c r="A132" s="2">
        <v>132.0</v>
      </c>
      <c r="B132" s="2" t="s">
        <v>260</v>
      </c>
      <c r="C132" s="2" t="s">
        <v>261</v>
      </c>
      <c r="D132" s="2" t="s">
        <v>30</v>
      </c>
      <c r="E132" s="2">
        <v>330.0</v>
      </c>
    </row>
    <row r="133" ht="15.75" customHeight="1">
      <c r="A133" s="3">
        <v>134.0</v>
      </c>
      <c r="B133" s="3" t="s">
        <v>262</v>
      </c>
      <c r="C133" s="3" t="s">
        <v>263</v>
      </c>
      <c r="D133" s="3" t="s">
        <v>78</v>
      </c>
      <c r="E133" s="3">
        <v>328.0</v>
      </c>
    </row>
    <row r="134" ht="15.75" customHeight="1">
      <c r="A134" s="2">
        <v>135.0</v>
      </c>
      <c r="B134" s="2" t="s">
        <v>264</v>
      </c>
      <c r="C134" s="2" t="s">
        <v>265</v>
      </c>
      <c r="D134" s="2" t="s">
        <v>21</v>
      </c>
      <c r="E134" s="2">
        <v>325.0</v>
      </c>
    </row>
    <row r="135" ht="15.75" customHeight="1">
      <c r="A135" s="3">
        <v>135.0</v>
      </c>
      <c r="B135" s="3" t="s">
        <v>90</v>
      </c>
      <c r="C135" s="3" t="s">
        <v>266</v>
      </c>
      <c r="D135" s="3" t="s">
        <v>10</v>
      </c>
      <c r="E135" s="3">
        <v>325.0</v>
      </c>
    </row>
    <row r="136" ht="15.75" customHeight="1">
      <c r="A136" s="2">
        <v>135.0</v>
      </c>
      <c r="B136" s="2" t="s">
        <v>267</v>
      </c>
      <c r="C136" s="2" t="s">
        <v>268</v>
      </c>
      <c r="D136" s="2" t="s">
        <v>30</v>
      </c>
      <c r="E136" s="2">
        <v>325.0</v>
      </c>
    </row>
    <row r="137" ht="15.75" customHeight="1">
      <c r="A137" s="3">
        <v>135.0</v>
      </c>
      <c r="B137" s="3" t="s">
        <v>26</v>
      </c>
      <c r="C137" s="3" t="s">
        <v>269</v>
      </c>
      <c r="D137" s="3" t="s">
        <v>21</v>
      </c>
      <c r="E137" s="3">
        <v>325.0</v>
      </c>
    </row>
    <row r="138" ht="15.75" customHeight="1">
      <c r="A138" s="2">
        <v>135.0</v>
      </c>
      <c r="B138" s="2" t="s">
        <v>270</v>
      </c>
      <c r="C138" s="2" t="s">
        <v>271</v>
      </c>
      <c r="D138" s="2" t="s">
        <v>7</v>
      </c>
      <c r="E138" s="2">
        <v>325.0</v>
      </c>
    </row>
    <row r="139" ht="15.75" customHeight="1">
      <c r="A139" s="3">
        <v>140.0</v>
      </c>
      <c r="B139" s="3" t="s">
        <v>272</v>
      </c>
      <c r="C139" s="3" t="s">
        <v>273</v>
      </c>
      <c r="D139" s="3" t="s">
        <v>274</v>
      </c>
      <c r="E139" s="3">
        <v>324.0</v>
      </c>
    </row>
    <row r="140" ht="15.75" customHeight="1">
      <c r="A140" s="2">
        <v>141.0</v>
      </c>
      <c r="B140" s="2" t="s">
        <v>275</v>
      </c>
      <c r="C140" s="2" t="s">
        <v>276</v>
      </c>
      <c r="D140" s="2" t="s">
        <v>277</v>
      </c>
      <c r="E140" s="2">
        <v>322.0</v>
      </c>
    </row>
    <row r="141" ht="15.75" customHeight="1">
      <c r="A141" s="3">
        <v>141.0</v>
      </c>
      <c r="B141" s="3" t="s">
        <v>278</v>
      </c>
      <c r="C141" s="3" t="s">
        <v>279</v>
      </c>
      <c r="D141" s="3" t="s">
        <v>30</v>
      </c>
      <c r="E141" s="3">
        <v>322.0</v>
      </c>
    </row>
    <row r="142" ht="15.75" customHeight="1">
      <c r="A142" s="2">
        <v>143.0</v>
      </c>
      <c r="B142" s="2" t="s">
        <v>76</v>
      </c>
      <c r="C142" s="2" t="s">
        <v>280</v>
      </c>
      <c r="D142" s="2" t="s">
        <v>78</v>
      </c>
      <c r="E142" s="2">
        <v>320.0</v>
      </c>
    </row>
    <row r="143" ht="15.75" customHeight="1">
      <c r="A143" s="3">
        <v>143.0</v>
      </c>
      <c r="B143" s="3" t="s">
        <v>281</v>
      </c>
      <c r="C143" s="3" t="s">
        <v>282</v>
      </c>
      <c r="D143" s="3" t="s">
        <v>167</v>
      </c>
      <c r="E143" s="3">
        <v>320.0</v>
      </c>
    </row>
    <row r="144" ht="15.75" customHeight="1">
      <c r="A144" s="2">
        <v>143.0</v>
      </c>
      <c r="B144" s="2" t="s">
        <v>283</v>
      </c>
      <c r="C144" s="2" t="s">
        <v>284</v>
      </c>
      <c r="D144" s="2" t="s">
        <v>10</v>
      </c>
      <c r="E144" s="2">
        <v>320.0</v>
      </c>
    </row>
    <row r="145" ht="15.75" customHeight="1">
      <c r="A145" s="3">
        <v>143.0</v>
      </c>
      <c r="B145" s="3" t="s">
        <v>285</v>
      </c>
      <c r="C145" s="3" t="s">
        <v>286</v>
      </c>
      <c r="D145" s="3" t="s">
        <v>53</v>
      </c>
      <c r="E145" s="3">
        <v>320.0</v>
      </c>
    </row>
    <row r="146" ht="15.75" customHeight="1">
      <c r="A146" s="2">
        <v>143.0</v>
      </c>
      <c r="B146" s="2" t="s">
        <v>287</v>
      </c>
      <c r="C146" s="2" t="s">
        <v>288</v>
      </c>
      <c r="D146" s="2" t="s">
        <v>30</v>
      </c>
      <c r="E146" s="2">
        <v>320.0</v>
      </c>
    </row>
    <row r="147" ht="15.75" customHeight="1">
      <c r="A147" s="3">
        <v>148.0</v>
      </c>
      <c r="B147" s="3" t="s">
        <v>289</v>
      </c>
      <c r="C147" s="3" t="s">
        <v>290</v>
      </c>
      <c r="D147" s="3" t="s">
        <v>7</v>
      </c>
      <c r="E147" s="3">
        <v>318.0</v>
      </c>
    </row>
    <row r="148" ht="15.75" customHeight="1">
      <c r="A148" s="2">
        <v>149.0</v>
      </c>
      <c r="B148" s="2" t="s">
        <v>291</v>
      </c>
      <c r="C148" s="2" t="s">
        <v>292</v>
      </c>
      <c r="D148" s="2" t="s">
        <v>73</v>
      </c>
      <c r="E148" s="2">
        <v>315.0</v>
      </c>
    </row>
    <row r="149" ht="15.75" customHeight="1">
      <c r="A149" s="3">
        <v>149.0</v>
      </c>
      <c r="B149" s="3" t="s">
        <v>71</v>
      </c>
      <c r="C149" s="3" t="s">
        <v>293</v>
      </c>
      <c r="D149" s="3" t="s">
        <v>73</v>
      </c>
      <c r="E149" s="3">
        <v>315.0</v>
      </c>
    </row>
    <row r="150" ht="15.75" customHeight="1">
      <c r="A150" s="2">
        <v>149.0</v>
      </c>
      <c r="B150" s="2" t="s">
        <v>69</v>
      </c>
      <c r="C150" s="2" t="s">
        <v>294</v>
      </c>
      <c r="D150" s="2" t="s">
        <v>53</v>
      </c>
      <c r="E150" s="2">
        <v>315.0</v>
      </c>
    </row>
    <row r="151" ht="15.75" customHeight="1">
      <c r="A151" s="3">
        <v>149.0</v>
      </c>
      <c r="B151" s="3" t="s">
        <v>104</v>
      </c>
      <c r="C151" s="3" t="s">
        <v>295</v>
      </c>
      <c r="D151" s="3" t="s">
        <v>13</v>
      </c>
      <c r="E151" s="3">
        <v>315.0</v>
      </c>
    </row>
    <row r="152" ht="15.75" customHeight="1">
      <c r="A152" s="2">
        <v>149.0</v>
      </c>
      <c r="B152" s="2" t="s">
        <v>296</v>
      </c>
      <c r="C152" s="2" t="s">
        <v>297</v>
      </c>
      <c r="D152" s="2" t="s">
        <v>206</v>
      </c>
      <c r="E152" s="2">
        <v>315.0</v>
      </c>
    </row>
    <row r="153" ht="15.75" customHeight="1">
      <c r="A153" s="3">
        <v>149.0</v>
      </c>
      <c r="B153" s="3" t="s">
        <v>285</v>
      </c>
      <c r="C153" s="3" t="s">
        <v>298</v>
      </c>
      <c r="D153" s="3" t="s">
        <v>53</v>
      </c>
      <c r="E153" s="3">
        <v>315.0</v>
      </c>
    </row>
    <row r="154" ht="15.75" customHeight="1">
      <c r="A154" s="2">
        <v>155.0</v>
      </c>
      <c r="B154" s="2" t="s">
        <v>299</v>
      </c>
      <c r="C154" s="2" t="s">
        <v>300</v>
      </c>
      <c r="D154" s="2" t="s">
        <v>244</v>
      </c>
      <c r="E154" s="2">
        <v>313.0</v>
      </c>
    </row>
    <row r="155" ht="15.75" customHeight="1">
      <c r="A155" s="3">
        <v>156.0</v>
      </c>
      <c r="B155" s="3" t="s">
        <v>74</v>
      </c>
      <c r="C155" s="3" t="s">
        <v>301</v>
      </c>
      <c r="D155" s="3" t="s">
        <v>7</v>
      </c>
      <c r="E155" s="3">
        <v>312.0</v>
      </c>
    </row>
    <row r="156" ht="15.75" customHeight="1">
      <c r="A156" s="2">
        <v>157.0</v>
      </c>
      <c r="B156" s="2" t="s">
        <v>159</v>
      </c>
      <c r="C156" s="2" t="s">
        <v>302</v>
      </c>
      <c r="D156" s="2" t="s">
        <v>10</v>
      </c>
      <c r="E156" s="2">
        <v>310.0</v>
      </c>
    </row>
    <row r="157" ht="15.75" customHeight="1">
      <c r="A157" s="3">
        <v>157.0</v>
      </c>
      <c r="B157" s="3" t="s">
        <v>202</v>
      </c>
      <c r="C157" s="3" t="s">
        <v>303</v>
      </c>
      <c r="D157" s="3" t="s">
        <v>21</v>
      </c>
      <c r="E157" s="3">
        <v>310.0</v>
      </c>
    </row>
    <row r="158" ht="15.75" customHeight="1">
      <c r="A158" s="2">
        <v>157.0</v>
      </c>
      <c r="B158" s="2" t="s">
        <v>304</v>
      </c>
      <c r="C158" s="2" t="s">
        <v>305</v>
      </c>
      <c r="D158" s="2" t="s">
        <v>7</v>
      </c>
      <c r="E158" s="2">
        <v>310.0</v>
      </c>
    </row>
    <row r="159" ht="15.75" customHeight="1">
      <c r="A159" s="3">
        <v>157.0</v>
      </c>
      <c r="B159" s="3" t="s">
        <v>171</v>
      </c>
      <c r="C159" s="3" t="s">
        <v>306</v>
      </c>
      <c r="D159" s="3" t="s">
        <v>21</v>
      </c>
      <c r="E159" s="3">
        <v>310.0</v>
      </c>
    </row>
    <row r="160" ht="15.75" customHeight="1">
      <c r="A160" s="2">
        <v>157.0</v>
      </c>
      <c r="B160" s="2" t="s">
        <v>307</v>
      </c>
      <c r="C160" s="2" t="s">
        <v>308</v>
      </c>
      <c r="D160" s="2" t="s">
        <v>83</v>
      </c>
      <c r="E160" s="2">
        <v>310.0</v>
      </c>
    </row>
    <row r="161" ht="15.75" customHeight="1">
      <c r="A161" s="3">
        <v>157.0</v>
      </c>
      <c r="B161" s="3" t="s">
        <v>196</v>
      </c>
      <c r="C161" s="3" t="s">
        <v>309</v>
      </c>
      <c r="D161" s="3" t="s">
        <v>10</v>
      </c>
      <c r="E161" s="3">
        <v>310.0</v>
      </c>
    </row>
    <row r="162" ht="15.75" customHeight="1">
      <c r="A162" s="2">
        <v>157.0</v>
      </c>
      <c r="B162" s="2" t="s">
        <v>26</v>
      </c>
      <c r="C162" s="2" t="s">
        <v>310</v>
      </c>
      <c r="D162" s="2" t="s">
        <v>21</v>
      </c>
      <c r="E162" s="2">
        <v>310.0</v>
      </c>
    </row>
    <row r="163" ht="15.75" customHeight="1">
      <c r="A163" s="3">
        <v>157.0</v>
      </c>
      <c r="B163" s="3" t="s">
        <v>311</v>
      </c>
      <c r="C163" s="3" t="s">
        <v>312</v>
      </c>
      <c r="D163" s="3" t="s">
        <v>13</v>
      </c>
      <c r="E163" s="3">
        <v>310.0</v>
      </c>
    </row>
    <row r="164" ht="15.75" customHeight="1">
      <c r="A164" s="2">
        <v>165.0</v>
      </c>
      <c r="B164" s="2" t="s">
        <v>245</v>
      </c>
      <c r="C164" s="2" t="s">
        <v>313</v>
      </c>
      <c r="D164" s="2" t="s">
        <v>7</v>
      </c>
      <c r="E164" s="2">
        <v>305.0</v>
      </c>
    </row>
    <row r="165" ht="15.75" customHeight="1">
      <c r="A165" s="3">
        <v>165.0</v>
      </c>
      <c r="B165" s="3" t="s">
        <v>314</v>
      </c>
      <c r="C165" s="3" t="s">
        <v>315</v>
      </c>
      <c r="D165" s="3" t="s">
        <v>10</v>
      </c>
      <c r="E165" s="3">
        <v>305.0</v>
      </c>
    </row>
    <row r="166" ht="15.75" customHeight="1">
      <c r="A166" s="2">
        <v>165.0</v>
      </c>
      <c r="B166" s="2" t="s">
        <v>316</v>
      </c>
      <c r="C166" s="2" t="s">
        <v>317</v>
      </c>
      <c r="D166" s="2" t="s">
        <v>21</v>
      </c>
      <c r="E166" s="2">
        <v>305.0</v>
      </c>
    </row>
    <row r="167" ht="15.75" customHeight="1">
      <c r="A167" s="3">
        <v>165.0</v>
      </c>
      <c r="B167" s="3" t="s">
        <v>318</v>
      </c>
      <c r="C167" s="3" t="s">
        <v>319</v>
      </c>
      <c r="D167" s="3" t="s">
        <v>21</v>
      </c>
      <c r="E167" s="3">
        <v>305.0</v>
      </c>
    </row>
    <row r="168" ht="15.75" customHeight="1">
      <c r="A168" s="2">
        <v>165.0</v>
      </c>
      <c r="B168" s="2" t="s">
        <v>320</v>
      </c>
      <c r="C168" s="2" t="s">
        <v>321</v>
      </c>
      <c r="D168" s="2" t="s">
        <v>13</v>
      </c>
      <c r="E168" s="2">
        <v>305.0</v>
      </c>
    </row>
    <row r="169" ht="15.75" customHeight="1">
      <c r="A169" s="3">
        <v>170.0</v>
      </c>
      <c r="B169" s="3" t="s">
        <v>60</v>
      </c>
      <c r="C169" s="3" t="s">
        <v>322</v>
      </c>
      <c r="D169" s="3" t="s">
        <v>30</v>
      </c>
      <c r="E169" s="3">
        <v>303.0</v>
      </c>
    </row>
    <row r="170" ht="15.75" customHeight="1">
      <c r="A170" s="2">
        <v>170.0</v>
      </c>
      <c r="B170" s="2" t="s">
        <v>323</v>
      </c>
      <c r="C170" s="2" t="s">
        <v>324</v>
      </c>
      <c r="D170" s="2" t="s">
        <v>30</v>
      </c>
      <c r="E170" s="2">
        <v>303.0</v>
      </c>
    </row>
    <row r="171" ht="15.75" customHeight="1">
      <c r="A171" s="3">
        <v>172.0</v>
      </c>
      <c r="B171" s="3" t="s">
        <v>325</v>
      </c>
      <c r="C171" s="3" t="s">
        <v>326</v>
      </c>
      <c r="D171" s="3" t="s">
        <v>122</v>
      </c>
      <c r="E171" s="3">
        <v>300.0</v>
      </c>
    </row>
    <row r="172" ht="15.75" customHeight="1">
      <c r="A172" s="2">
        <v>172.0</v>
      </c>
      <c r="B172" s="2" t="s">
        <v>327</v>
      </c>
      <c r="C172" s="2" t="s">
        <v>328</v>
      </c>
      <c r="D172" s="2" t="s">
        <v>43</v>
      </c>
      <c r="E172" s="2">
        <v>300.0</v>
      </c>
    </row>
    <row r="173" ht="15.75" customHeight="1">
      <c r="A173" s="3">
        <v>172.0</v>
      </c>
      <c r="B173" s="3" t="s">
        <v>329</v>
      </c>
      <c r="C173" s="3" t="s">
        <v>330</v>
      </c>
      <c r="D173" s="3" t="s">
        <v>7</v>
      </c>
      <c r="E173" s="3">
        <v>300.0</v>
      </c>
    </row>
    <row r="174" ht="15.75" customHeight="1">
      <c r="A174" s="2">
        <v>172.0</v>
      </c>
      <c r="B174" s="2" t="s">
        <v>331</v>
      </c>
      <c r="C174" s="2" t="s">
        <v>332</v>
      </c>
      <c r="D174" s="2" t="s">
        <v>43</v>
      </c>
      <c r="E174" s="2">
        <v>300.0</v>
      </c>
    </row>
    <row r="175" ht="15.75" customHeight="1">
      <c r="A175" s="3">
        <v>172.0</v>
      </c>
      <c r="B175" s="3" t="s">
        <v>187</v>
      </c>
      <c r="C175" s="3" t="s">
        <v>333</v>
      </c>
      <c r="D175" s="3" t="s">
        <v>43</v>
      </c>
      <c r="E175" s="3">
        <v>300.0</v>
      </c>
    </row>
    <row r="176" ht="15.75" customHeight="1">
      <c r="A176" s="2">
        <v>177.0</v>
      </c>
      <c r="B176" s="2" t="s">
        <v>334</v>
      </c>
      <c r="C176" s="2" t="s">
        <v>335</v>
      </c>
      <c r="D176" s="2" t="s">
        <v>100</v>
      </c>
      <c r="E176" s="2">
        <v>298.0</v>
      </c>
    </row>
    <row r="177" ht="15.75" customHeight="1">
      <c r="A177" s="3">
        <v>178.0</v>
      </c>
      <c r="B177" s="3" t="s">
        <v>336</v>
      </c>
      <c r="C177" s="3" t="s">
        <v>337</v>
      </c>
      <c r="D177" s="3" t="s">
        <v>338</v>
      </c>
      <c r="E177" s="3">
        <v>296.0</v>
      </c>
    </row>
    <row r="178" ht="15.75" customHeight="1">
      <c r="A178" s="2">
        <v>179.0</v>
      </c>
      <c r="B178" s="2" t="s">
        <v>339</v>
      </c>
      <c r="C178" s="2" t="s">
        <v>340</v>
      </c>
      <c r="D178" s="2" t="s">
        <v>341</v>
      </c>
      <c r="E178" s="2">
        <v>295.0</v>
      </c>
    </row>
    <row r="179" ht="15.75" customHeight="1">
      <c r="A179" s="3">
        <v>179.0</v>
      </c>
      <c r="B179" s="3" t="s">
        <v>342</v>
      </c>
      <c r="C179" s="3" t="s">
        <v>343</v>
      </c>
      <c r="D179" s="3" t="s">
        <v>78</v>
      </c>
      <c r="E179" s="3">
        <v>295.0</v>
      </c>
    </row>
    <row r="180" ht="15.75" customHeight="1">
      <c r="A180" s="2">
        <v>179.0</v>
      </c>
      <c r="B180" s="2" t="s">
        <v>344</v>
      </c>
      <c r="C180" s="2" t="s">
        <v>345</v>
      </c>
      <c r="D180" s="2" t="s">
        <v>232</v>
      </c>
      <c r="E180" s="2">
        <v>295.0</v>
      </c>
    </row>
    <row r="181" ht="15.75" customHeight="1">
      <c r="A181" s="3">
        <v>179.0</v>
      </c>
      <c r="B181" s="3" t="s">
        <v>346</v>
      </c>
      <c r="C181" s="3" t="s">
        <v>347</v>
      </c>
      <c r="D181" s="3" t="s">
        <v>48</v>
      </c>
      <c r="E181" s="3">
        <v>295.0</v>
      </c>
    </row>
    <row r="182" ht="15.75" customHeight="1">
      <c r="A182" s="2">
        <v>179.0</v>
      </c>
      <c r="B182" s="2" t="s">
        <v>348</v>
      </c>
      <c r="C182" s="2" t="s">
        <v>349</v>
      </c>
      <c r="D182" s="2" t="s">
        <v>100</v>
      </c>
      <c r="E182" s="2">
        <v>295.0</v>
      </c>
    </row>
    <row r="183" ht="15.75" customHeight="1">
      <c r="A183" s="3">
        <v>186.0</v>
      </c>
      <c r="B183" s="3" t="s">
        <v>350</v>
      </c>
      <c r="C183" s="3" t="s">
        <v>351</v>
      </c>
      <c r="D183" s="3" t="s">
        <v>30</v>
      </c>
      <c r="E183" s="3">
        <v>290.0</v>
      </c>
    </row>
    <row r="184" ht="15.75" customHeight="1">
      <c r="A184" s="2">
        <v>186.0</v>
      </c>
      <c r="B184" s="2" t="s">
        <v>352</v>
      </c>
      <c r="C184" s="2" t="s">
        <v>353</v>
      </c>
      <c r="D184" s="2" t="s">
        <v>354</v>
      </c>
      <c r="E184" s="2">
        <v>290.0</v>
      </c>
    </row>
    <row r="185" ht="15.75" customHeight="1">
      <c r="A185" s="3">
        <v>186.0</v>
      </c>
      <c r="B185" s="3" t="s">
        <v>17</v>
      </c>
      <c r="C185" s="3" t="s">
        <v>355</v>
      </c>
      <c r="D185" s="3" t="s">
        <v>13</v>
      </c>
      <c r="E185" s="3">
        <v>290.0</v>
      </c>
    </row>
    <row r="186" ht="15.75" customHeight="1">
      <c r="A186" s="2">
        <v>186.0</v>
      </c>
      <c r="B186" s="2" t="s">
        <v>31</v>
      </c>
      <c r="C186" s="2" t="s">
        <v>356</v>
      </c>
      <c r="D186" s="2" t="s">
        <v>7</v>
      </c>
      <c r="E186" s="2">
        <v>290.0</v>
      </c>
    </row>
    <row r="187" ht="15.75" customHeight="1">
      <c r="A187" s="3">
        <v>186.0</v>
      </c>
      <c r="B187" s="3" t="s">
        <v>181</v>
      </c>
      <c r="C187" s="3" t="s">
        <v>357</v>
      </c>
      <c r="D187" s="3" t="s">
        <v>16</v>
      </c>
      <c r="E187" s="3">
        <v>290.0</v>
      </c>
    </row>
    <row r="188" ht="15.75" customHeight="1">
      <c r="A188" s="2">
        <v>186.0</v>
      </c>
      <c r="B188" s="2" t="s">
        <v>358</v>
      </c>
      <c r="C188" s="2" t="s">
        <v>359</v>
      </c>
      <c r="D188" s="2" t="s">
        <v>21</v>
      </c>
      <c r="E188" s="2">
        <v>290.0</v>
      </c>
    </row>
    <row r="189" ht="15.75" customHeight="1">
      <c r="A189" s="3">
        <v>186.0</v>
      </c>
      <c r="B189" s="3" t="s">
        <v>360</v>
      </c>
      <c r="C189" s="3" t="s">
        <v>361</v>
      </c>
      <c r="D189" s="3" t="s">
        <v>136</v>
      </c>
      <c r="E189" s="3">
        <v>290.0</v>
      </c>
    </row>
    <row r="190" ht="15.75" customHeight="1">
      <c r="A190" s="2">
        <v>186.0</v>
      </c>
      <c r="B190" s="2" t="s">
        <v>344</v>
      </c>
      <c r="C190" s="2" t="s">
        <v>362</v>
      </c>
      <c r="D190" s="2" t="s">
        <v>232</v>
      </c>
      <c r="E190" s="2">
        <v>290.0</v>
      </c>
    </row>
    <row r="191" ht="15.75" customHeight="1">
      <c r="A191" s="3">
        <v>186.0</v>
      </c>
      <c r="B191" s="3" t="s">
        <v>185</v>
      </c>
      <c r="C191" s="3" t="s">
        <v>363</v>
      </c>
      <c r="D191" s="3" t="s">
        <v>122</v>
      </c>
      <c r="E191" s="3">
        <v>290.0</v>
      </c>
    </row>
    <row r="192" ht="15.75" customHeight="1">
      <c r="A192" s="2">
        <v>195.0</v>
      </c>
      <c r="B192" s="2" t="s">
        <v>364</v>
      </c>
      <c r="C192" s="2" t="s">
        <v>365</v>
      </c>
      <c r="D192" s="2" t="s">
        <v>37</v>
      </c>
      <c r="E192" s="2">
        <v>289.0</v>
      </c>
    </row>
    <row r="193" ht="15.75" customHeight="1">
      <c r="A193" s="3">
        <v>196.0</v>
      </c>
      <c r="B193" s="3" t="s">
        <v>366</v>
      </c>
      <c r="C193" s="3" t="s">
        <v>367</v>
      </c>
      <c r="D193" s="3" t="s">
        <v>139</v>
      </c>
      <c r="E193" s="3">
        <v>288.0</v>
      </c>
    </row>
    <row r="194" ht="15.75" customHeight="1">
      <c r="A194" s="2">
        <v>196.0</v>
      </c>
      <c r="B194" s="2" t="s">
        <v>69</v>
      </c>
      <c r="C194" s="2" t="s">
        <v>368</v>
      </c>
      <c r="D194" s="2" t="s">
        <v>53</v>
      </c>
      <c r="E194" s="2">
        <v>288.0</v>
      </c>
    </row>
    <row r="195" ht="15.75" customHeight="1">
      <c r="A195" s="3">
        <v>196.0</v>
      </c>
      <c r="B195" s="3" t="s">
        <v>369</v>
      </c>
      <c r="C195" s="3" t="s">
        <v>370</v>
      </c>
      <c r="D195" s="3" t="s">
        <v>7</v>
      </c>
      <c r="E195" s="3">
        <v>288.0</v>
      </c>
    </row>
    <row r="196" ht="15.75" customHeight="1">
      <c r="A196" s="2">
        <v>199.0</v>
      </c>
      <c r="B196" s="2" t="s">
        <v>71</v>
      </c>
      <c r="C196" s="2" t="s">
        <v>371</v>
      </c>
      <c r="D196" s="2" t="s">
        <v>73</v>
      </c>
      <c r="E196" s="2">
        <v>285.0</v>
      </c>
    </row>
    <row r="197" ht="15.75" customHeight="1">
      <c r="A197" s="3">
        <v>199.0</v>
      </c>
      <c r="B197" s="3" t="s">
        <v>140</v>
      </c>
      <c r="C197" s="3" t="s">
        <v>372</v>
      </c>
      <c r="D197" s="3" t="s">
        <v>142</v>
      </c>
      <c r="E197" s="3">
        <v>285.0</v>
      </c>
    </row>
    <row r="198" ht="15.75" customHeight="1">
      <c r="A198" s="2">
        <v>199.0</v>
      </c>
      <c r="B198" s="2" t="s">
        <v>46</v>
      </c>
      <c r="C198" s="2" t="s">
        <v>373</v>
      </c>
      <c r="D198" s="2" t="s">
        <v>48</v>
      </c>
      <c r="E198" s="2">
        <v>285.0</v>
      </c>
    </row>
    <row r="199" ht="15.75" customHeight="1">
      <c r="A199" s="3">
        <v>199.0</v>
      </c>
      <c r="B199" s="3" t="s">
        <v>31</v>
      </c>
      <c r="C199" s="3" t="s">
        <v>374</v>
      </c>
      <c r="D199" s="3" t="s">
        <v>7</v>
      </c>
      <c r="E199" s="3">
        <v>285.0</v>
      </c>
    </row>
    <row r="200" ht="15.75" customHeight="1">
      <c r="A200" s="2">
        <v>199.0</v>
      </c>
      <c r="B200" s="2" t="s">
        <v>171</v>
      </c>
      <c r="C200" s="2" t="s">
        <v>375</v>
      </c>
      <c r="D200" s="2" t="s">
        <v>21</v>
      </c>
      <c r="E200" s="2">
        <v>285.0</v>
      </c>
    </row>
    <row r="201" ht="15.75" customHeight="1">
      <c r="A201" s="3">
        <v>199.0</v>
      </c>
      <c r="B201" s="3" t="s">
        <v>258</v>
      </c>
      <c r="C201" s="3" t="s">
        <v>376</v>
      </c>
      <c r="D201" s="3" t="s">
        <v>7</v>
      </c>
      <c r="E201" s="3">
        <v>285.0</v>
      </c>
    </row>
    <row r="202" ht="15.75" customHeight="1"/>
    <row r="203" ht="15.75" customHeight="1">
      <c r="A203" s="4" t="s">
        <v>377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18.0"/>
    <col customWidth="1" min="4" max="4" width="35.0"/>
    <col customWidth="1" min="5" max="5" width="12.0"/>
    <col customWidth="1" min="6" max="26" width="8.71"/>
  </cols>
  <sheetData>
    <row r="1" ht="30.0" customHeight="1">
      <c r="A1" s="5" t="s">
        <v>378</v>
      </c>
      <c r="B1" s="5" t="s">
        <v>1</v>
      </c>
      <c r="C1" s="5" t="s">
        <v>379</v>
      </c>
      <c r="D1" s="5" t="s">
        <v>2</v>
      </c>
      <c r="E1" s="5" t="s">
        <v>380</v>
      </c>
    </row>
    <row r="2">
      <c r="A2" s="6">
        <v>1.0</v>
      </c>
      <c r="B2" s="6" t="s">
        <v>381</v>
      </c>
      <c r="C2" s="6" t="s">
        <v>21</v>
      </c>
      <c r="D2" s="6" t="s">
        <v>382</v>
      </c>
      <c r="E2" s="7" t="s">
        <v>383</v>
      </c>
    </row>
    <row r="3">
      <c r="A3" s="3">
        <v>2.0</v>
      </c>
      <c r="B3" s="3" t="s">
        <v>384</v>
      </c>
      <c r="C3" s="3" t="s">
        <v>53</v>
      </c>
      <c r="D3" s="3" t="s">
        <v>385</v>
      </c>
      <c r="E3" s="8" t="s">
        <v>386</v>
      </c>
    </row>
    <row r="4">
      <c r="A4" s="6">
        <v>3.0</v>
      </c>
      <c r="B4" s="6" t="s">
        <v>387</v>
      </c>
      <c r="C4" s="6" t="s">
        <v>100</v>
      </c>
      <c r="D4" s="6" t="s">
        <v>388</v>
      </c>
      <c r="E4" s="9" t="s">
        <v>389</v>
      </c>
    </row>
    <row r="5">
      <c r="A5" s="3">
        <v>4.0</v>
      </c>
      <c r="B5" s="3" t="s">
        <v>390</v>
      </c>
      <c r="C5" s="3" t="s">
        <v>30</v>
      </c>
      <c r="D5" s="3" t="s">
        <v>391</v>
      </c>
      <c r="E5" s="3" t="s">
        <v>392</v>
      </c>
    </row>
    <row r="6">
      <c r="A6" s="6">
        <v>5.0</v>
      </c>
      <c r="B6" s="6" t="s">
        <v>393</v>
      </c>
      <c r="C6" s="6" t="s">
        <v>59</v>
      </c>
      <c r="D6" s="6" t="s">
        <v>394</v>
      </c>
      <c r="E6" s="6" t="s">
        <v>392</v>
      </c>
    </row>
    <row r="7">
      <c r="A7" s="3">
        <v>6.0</v>
      </c>
      <c r="B7" s="3" t="s">
        <v>395</v>
      </c>
      <c r="C7" s="3" t="s">
        <v>13</v>
      </c>
      <c r="D7" s="3" t="s">
        <v>396</v>
      </c>
      <c r="E7" s="3" t="s">
        <v>392</v>
      </c>
    </row>
    <row r="8">
      <c r="A8" s="6">
        <v>7.0</v>
      </c>
      <c r="B8" s="6" t="s">
        <v>397</v>
      </c>
      <c r="C8" s="6" t="s">
        <v>37</v>
      </c>
      <c r="D8" s="6" t="s">
        <v>398</v>
      </c>
      <c r="E8" s="6" t="s">
        <v>392</v>
      </c>
    </row>
    <row r="9">
      <c r="A9" s="3">
        <v>8.0</v>
      </c>
      <c r="B9" s="3" t="s">
        <v>399</v>
      </c>
      <c r="C9" s="3" t="s">
        <v>7</v>
      </c>
      <c r="D9" s="3" t="s">
        <v>400</v>
      </c>
      <c r="E9" s="3" t="s">
        <v>392</v>
      </c>
    </row>
    <row r="10">
      <c r="A10" s="6">
        <v>9.0</v>
      </c>
      <c r="B10" s="6" t="s">
        <v>401</v>
      </c>
      <c r="C10" s="6" t="s">
        <v>13</v>
      </c>
      <c r="D10" s="6" t="s">
        <v>402</v>
      </c>
      <c r="E10" s="6" t="s">
        <v>392</v>
      </c>
    </row>
    <row r="11">
      <c r="A11" s="3">
        <v>10.0</v>
      </c>
      <c r="B11" s="3" t="s">
        <v>403</v>
      </c>
      <c r="C11" s="3" t="s">
        <v>53</v>
      </c>
      <c r="D11" s="3" t="s">
        <v>404</v>
      </c>
      <c r="E11" s="3" t="s">
        <v>392</v>
      </c>
    </row>
    <row r="12">
      <c r="A12" s="6">
        <v>11.0</v>
      </c>
      <c r="B12" s="6" t="s">
        <v>405</v>
      </c>
      <c r="C12" s="6" t="s">
        <v>73</v>
      </c>
      <c r="D12" s="6" t="s">
        <v>406</v>
      </c>
      <c r="E12" s="6" t="s">
        <v>392</v>
      </c>
    </row>
    <row r="13">
      <c r="A13" s="3">
        <v>12.0</v>
      </c>
      <c r="B13" s="3" t="s">
        <v>407</v>
      </c>
      <c r="C13" s="3" t="s">
        <v>21</v>
      </c>
      <c r="D13" s="3" t="s">
        <v>408</v>
      </c>
      <c r="E13" s="3" t="s">
        <v>392</v>
      </c>
    </row>
    <row r="14">
      <c r="A14" s="6">
        <v>13.0</v>
      </c>
      <c r="B14" s="6" t="s">
        <v>409</v>
      </c>
      <c r="C14" s="6" t="s">
        <v>73</v>
      </c>
      <c r="D14" s="6" t="s">
        <v>410</v>
      </c>
      <c r="E14" s="6" t="s">
        <v>392</v>
      </c>
    </row>
    <row r="15">
      <c r="A15" s="3">
        <v>14.0</v>
      </c>
      <c r="B15" s="3" t="s">
        <v>411</v>
      </c>
      <c r="C15" s="3" t="s">
        <v>100</v>
      </c>
      <c r="D15" s="3" t="s">
        <v>412</v>
      </c>
      <c r="E15" s="3" t="s">
        <v>392</v>
      </c>
    </row>
    <row r="16">
      <c r="A16" s="6">
        <v>15.0</v>
      </c>
      <c r="B16" s="6" t="s">
        <v>413</v>
      </c>
      <c r="C16" s="6" t="s">
        <v>43</v>
      </c>
      <c r="D16" s="6" t="s">
        <v>414</v>
      </c>
      <c r="E16" s="6" t="s">
        <v>392</v>
      </c>
    </row>
    <row r="17">
      <c r="A17" s="3">
        <v>16.0</v>
      </c>
      <c r="B17" s="3" t="s">
        <v>415</v>
      </c>
      <c r="C17" s="3" t="s">
        <v>7</v>
      </c>
      <c r="D17" s="3" t="s">
        <v>416</v>
      </c>
      <c r="E17" s="3" t="s">
        <v>392</v>
      </c>
    </row>
    <row r="18">
      <c r="A18" s="6">
        <v>17.0</v>
      </c>
      <c r="B18" s="6" t="s">
        <v>417</v>
      </c>
      <c r="C18" s="6" t="s">
        <v>30</v>
      </c>
      <c r="D18" s="6" t="s">
        <v>418</v>
      </c>
      <c r="E18" s="6" t="s">
        <v>392</v>
      </c>
    </row>
    <row r="19">
      <c r="A19" s="3">
        <v>18.0</v>
      </c>
      <c r="B19" s="3" t="s">
        <v>419</v>
      </c>
      <c r="C19" s="3" t="s">
        <v>78</v>
      </c>
      <c r="D19" s="3" t="s">
        <v>420</v>
      </c>
      <c r="E19" s="3" t="s">
        <v>392</v>
      </c>
    </row>
    <row r="20">
      <c r="A20" s="6">
        <v>19.0</v>
      </c>
      <c r="B20" s="6" t="s">
        <v>421</v>
      </c>
      <c r="C20" s="6" t="s">
        <v>277</v>
      </c>
      <c r="D20" s="6" t="s">
        <v>422</v>
      </c>
      <c r="E20" s="6" t="s">
        <v>392</v>
      </c>
    </row>
    <row r="21" ht="15.75" customHeight="1">
      <c r="A21" s="3">
        <v>20.0</v>
      </c>
      <c r="B21" s="3" t="s">
        <v>423</v>
      </c>
      <c r="C21" s="3" t="s">
        <v>43</v>
      </c>
      <c r="D21" s="3" t="s">
        <v>424</v>
      </c>
      <c r="E21" s="3" t="s">
        <v>392</v>
      </c>
    </row>
    <row r="22" ht="15.75" customHeight="1">
      <c r="A22" s="6">
        <v>21.0</v>
      </c>
      <c r="B22" s="6" t="s">
        <v>425</v>
      </c>
      <c r="C22" s="6" t="s">
        <v>16</v>
      </c>
      <c r="D22" s="6" t="s">
        <v>426</v>
      </c>
      <c r="E22" s="6" t="s">
        <v>392</v>
      </c>
    </row>
    <row r="23" ht="15.75" customHeight="1">
      <c r="A23" s="3">
        <v>22.0</v>
      </c>
      <c r="B23" s="3" t="s">
        <v>427</v>
      </c>
      <c r="C23" s="3" t="s">
        <v>10</v>
      </c>
      <c r="D23" s="3" t="s">
        <v>428</v>
      </c>
      <c r="E23" s="3" t="s">
        <v>392</v>
      </c>
    </row>
    <row r="24" ht="15.75" customHeight="1">
      <c r="A24" s="6">
        <v>23.0</v>
      </c>
      <c r="B24" s="6" t="s">
        <v>429</v>
      </c>
      <c r="C24" s="6" t="s">
        <v>100</v>
      </c>
      <c r="D24" s="6" t="s">
        <v>430</v>
      </c>
      <c r="E24" s="6" t="s">
        <v>392</v>
      </c>
    </row>
    <row r="25" ht="15.75" customHeight="1">
      <c r="A25" s="3">
        <v>24.0</v>
      </c>
      <c r="B25" s="3" t="s">
        <v>431</v>
      </c>
      <c r="C25" s="3" t="s">
        <v>136</v>
      </c>
      <c r="D25" s="3" t="s">
        <v>432</v>
      </c>
      <c r="E25" s="3" t="s">
        <v>392</v>
      </c>
    </row>
    <row r="26" ht="15.75" customHeight="1">
      <c r="A26" s="6">
        <v>25.0</v>
      </c>
      <c r="B26" s="6" t="s">
        <v>433</v>
      </c>
      <c r="C26" s="6" t="s">
        <v>434</v>
      </c>
      <c r="D26" s="6" t="s">
        <v>435</v>
      </c>
      <c r="E26" s="6" t="s">
        <v>392</v>
      </c>
    </row>
    <row r="27" ht="15.75" customHeight="1">
      <c r="A27" s="3">
        <v>26.0</v>
      </c>
      <c r="B27" s="3" t="s">
        <v>436</v>
      </c>
      <c r="C27" s="3" t="s">
        <v>122</v>
      </c>
      <c r="D27" s="3" t="s">
        <v>437</v>
      </c>
      <c r="E27" s="3" t="s">
        <v>438</v>
      </c>
    </row>
    <row r="28" ht="15.75" customHeight="1">
      <c r="A28" s="6">
        <v>27.0</v>
      </c>
      <c r="B28" s="6" t="s">
        <v>439</v>
      </c>
      <c r="C28" s="6" t="s">
        <v>83</v>
      </c>
      <c r="D28" s="6" t="s">
        <v>440</v>
      </c>
      <c r="E28" s="6" t="s">
        <v>438</v>
      </c>
    </row>
    <row r="29" ht="15.75" customHeight="1"/>
    <row r="30" ht="15.75" customHeight="1">
      <c r="A30" s="4" t="s">
        <v>441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2.0"/>
    <col customWidth="1" min="4" max="4" width="20.0"/>
    <col customWidth="1" min="5" max="5" width="15.0"/>
    <col customWidth="1" min="6" max="26" width="8.71"/>
  </cols>
  <sheetData>
    <row r="1" ht="30.0" customHeight="1">
      <c r="A1" s="10" t="s">
        <v>0</v>
      </c>
      <c r="B1" s="10" t="s">
        <v>442</v>
      </c>
      <c r="C1" s="10" t="s">
        <v>443</v>
      </c>
      <c r="D1" s="10" t="s">
        <v>444</v>
      </c>
      <c r="E1" s="10" t="s">
        <v>445</v>
      </c>
    </row>
    <row r="2">
      <c r="A2" s="11">
        <v>1.0</v>
      </c>
      <c r="B2" s="11" t="s">
        <v>446</v>
      </c>
      <c r="C2" s="11" t="s">
        <v>43</v>
      </c>
      <c r="D2" s="11" t="s">
        <v>447</v>
      </c>
      <c r="E2" s="11">
        <v>25853.0</v>
      </c>
    </row>
    <row r="3">
      <c r="A3" s="3">
        <v>2.0</v>
      </c>
      <c r="B3" s="3" t="s">
        <v>448</v>
      </c>
      <c r="C3" s="3" t="s">
        <v>21</v>
      </c>
      <c r="D3" s="3" t="s">
        <v>449</v>
      </c>
      <c r="E3" s="3">
        <v>24939.0</v>
      </c>
    </row>
    <row r="4">
      <c r="A4" s="11">
        <v>3.0</v>
      </c>
      <c r="B4" s="11" t="s">
        <v>450</v>
      </c>
      <c r="C4" s="11" t="s">
        <v>30</v>
      </c>
      <c r="D4" s="11" t="s">
        <v>451</v>
      </c>
      <c r="E4" s="11">
        <v>24839.0</v>
      </c>
    </row>
    <row r="5">
      <c r="A5" s="3">
        <v>4.0</v>
      </c>
      <c r="B5" s="3" t="s">
        <v>452</v>
      </c>
      <c r="C5" s="3" t="s">
        <v>21</v>
      </c>
      <c r="D5" s="3" t="s">
        <v>453</v>
      </c>
      <c r="E5" s="3">
        <v>18168.0</v>
      </c>
    </row>
    <row r="6">
      <c r="A6" s="11">
        <v>5.0</v>
      </c>
      <c r="B6" s="11" t="s">
        <v>454</v>
      </c>
      <c r="C6" s="11" t="s">
        <v>30</v>
      </c>
      <c r="D6" s="11" t="s">
        <v>451</v>
      </c>
      <c r="E6" s="11">
        <v>18137.0</v>
      </c>
    </row>
    <row r="7">
      <c r="A7" s="3">
        <v>6.0</v>
      </c>
      <c r="B7" s="3" t="s">
        <v>455</v>
      </c>
      <c r="C7" s="3" t="s">
        <v>100</v>
      </c>
      <c r="D7" s="3" t="s">
        <v>456</v>
      </c>
      <c r="E7" s="3">
        <v>14173.0</v>
      </c>
    </row>
    <row r="8">
      <c r="A8" s="11">
        <v>7.0</v>
      </c>
      <c r="B8" s="11" t="s">
        <v>457</v>
      </c>
      <c r="C8" s="11" t="s">
        <v>83</v>
      </c>
      <c r="D8" s="11" t="s">
        <v>458</v>
      </c>
      <c r="E8" s="11">
        <v>13559.0</v>
      </c>
    </row>
    <row r="9">
      <c r="A9" s="3">
        <v>8.0</v>
      </c>
      <c r="B9" s="3" t="s">
        <v>459</v>
      </c>
      <c r="C9" s="3" t="s">
        <v>21</v>
      </c>
      <c r="D9" s="3" t="s">
        <v>460</v>
      </c>
      <c r="E9" s="3">
        <v>12846.0</v>
      </c>
    </row>
    <row r="10">
      <c r="A10" s="11">
        <v>9.0</v>
      </c>
      <c r="B10" s="11" t="s">
        <v>461</v>
      </c>
      <c r="C10" s="11" t="s">
        <v>100</v>
      </c>
      <c r="D10" s="11" t="s">
        <v>456</v>
      </c>
      <c r="E10" s="11">
        <v>12246.0</v>
      </c>
    </row>
    <row r="11">
      <c r="A11" s="3">
        <v>10.0</v>
      </c>
      <c r="B11" s="3" t="s">
        <v>462</v>
      </c>
      <c r="C11" s="3" t="s">
        <v>100</v>
      </c>
      <c r="D11" s="3" t="s">
        <v>447</v>
      </c>
      <c r="E11" s="3">
        <v>11011.0</v>
      </c>
    </row>
    <row r="12">
      <c r="A12" s="11">
        <v>11.0</v>
      </c>
      <c r="B12" s="11" t="s">
        <v>463</v>
      </c>
      <c r="C12" s="11" t="s">
        <v>83</v>
      </c>
      <c r="D12" s="11" t="s">
        <v>458</v>
      </c>
      <c r="E12" s="11">
        <v>10903.0</v>
      </c>
    </row>
    <row r="13">
      <c r="A13" s="3">
        <v>12.0</v>
      </c>
      <c r="B13" s="3" t="s">
        <v>464</v>
      </c>
      <c r="C13" s="3" t="s">
        <v>43</v>
      </c>
      <c r="D13" s="3" t="s">
        <v>447</v>
      </c>
      <c r="E13" s="3">
        <v>9800.0</v>
      </c>
    </row>
    <row r="14">
      <c r="A14" s="11">
        <v>13.0</v>
      </c>
      <c r="B14" s="11" t="s">
        <v>465</v>
      </c>
      <c r="C14" s="11" t="s">
        <v>100</v>
      </c>
      <c r="D14" s="11" t="s">
        <v>456</v>
      </c>
      <c r="E14" s="11">
        <v>9780.0</v>
      </c>
    </row>
    <row r="15">
      <c r="A15" s="3">
        <v>14.0</v>
      </c>
      <c r="B15" s="3" t="s">
        <v>466</v>
      </c>
      <c r="C15" s="3" t="s">
        <v>21</v>
      </c>
      <c r="D15" s="3" t="s">
        <v>467</v>
      </c>
      <c r="E15" s="3">
        <v>9484.0</v>
      </c>
    </row>
    <row r="16">
      <c r="A16" s="11">
        <v>15.0</v>
      </c>
      <c r="B16" s="11" t="s">
        <v>468</v>
      </c>
      <c r="C16" s="11" t="s">
        <v>21</v>
      </c>
      <c r="D16" s="11" t="s">
        <v>467</v>
      </c>
      <c r="E16" s="11">
        <v>9280.0</v>
      </c>
    </row>
    <row r="17">
      <c r="A17" s="3">
        <v>16.0</v>
      </c>
      <c r="B17" s="3" t="s">
        <v>469</v>
      </c>
      <c r="C17" s="3" t="s">
        <v>43</v>
      </c>
      <c r="D17" s="3" t="s">
        <v>447</v>
      </c>
      <c r="E17" s="3">
        <v>8797.0</v>
      </c>
    </row>
    <row r="18">
      <c r="A18" s="11">
        <v>17.0</v>
      </c>
      <c r="B18" s="11" t="s">
        <v>470</v>
      </c>
      <c r="C18" s="11" t="s">
        <v>21</v>
      </c>
      <c r="D18" s="11" t="s">
        <v>467</v>
      </c>
      <c r="E18" s="11">
        <v>7787.0</v>
      </c>
    </row>
    <row r="19">
      <c r="A19" s="3">
        <v>18.0</v>
      </c>
      <c r="B19" s="3" t="s">
        <v>471</v>
      </c>
      <c r="C19" s="3" t="s">
        <v>100</v>
      </c>
      <c r="D19" s="3" t="s">
        <v>456</v>
      </c>
      <c r="E19" s="3">
        <v>7113.0</v>
      </c>
    </row>
    <row r="20">
      <c r="A20" s="11">
        <v>19.0</v>
      </c>
      <c r="B20" s="11" t="s">
        <v>472</v>
      </c>
      <c r="C20" s="11" t="s">
        <v>43</v>
      </c>
      <c r="D20" s="11" t="s">
        <v>447</v>
      </c>
      <c r="E20" s="11">
        <v>6923.0</v>
      </c>
    </row>
    <row r="21" ht="15.75" customHeight="1">
      <c r="A21" s="3">
        <v>20.0</v>
      </c>
      <c r="B21" s="3" t="s">
        <v>473</v>
      </c>
      <c r="C21" s="3" t="s">
        <v>43</v>
      </c>
      <c r="D21" s="3" t="s">
        <v>447</v>
      </c>
      <c r="E21" s="3">
        <v>6643.0</v>
      </c>
    </row>
    <row r="22" ht="15.75" customHeight="1">
      <c r="A22" s="11">
        <v>21.0</v>
      </c>
      <c r="B22" s="11" t="s">
        <v>474</v>
      </c>
      <c r="C22" s="11" t="s">
        <v>21</v>
      </c>
      <c r="D22" s="11" t="s">
        <v>467</v>
      </c>
      <c r="E22" s="11">
        <v>6193.0</v>
      </c>
    </row>
    <row r="23" ht="15.75" customHeight="1">
      <c r="A23" s="3">
        <v>22.0</v>
      </c>
      <c r="B23" s="3" t="s">
        <v>475</v>
      </c>
      <c r="C23" s="3" t="s">
        <v>30</v>
      </c>
      <c r="D23" s="3" t="s">
        <v>451</v>
      </c>
      <c r="E23" s="3">
        <v>6159.0</v>
      </c>
    </row>
    <row r="24" ht="15.75" customHeight="1">
      <c r="A24" s="11">
        <v>23.0</v>
      </c>
      <c r="B24" s="11" t="s">
        <v>476</v>
      </c>
      <c r="C24" s="11" t="s">
        <v>21</v>
      </c>
      <c r="D24" s="11" t="s">
        <v>467</v>
      </c>
      <c r="E24" s="11">
        <v>5823.0</v>
      </c>
    </row>
    <row r="25" ht="15.75" customHeight="1">
      <c r="A25" s="3">
        <v>24.0</v>
      </c>
      <c r="B25" s="3" t="s">
        <v>477</v>
      </c>
      <c r="C25" s="3" t="s">
        <v>43</v>
      </c>
      <c r="D25" s="3" t="s">
        <v>447</v>
      </c>
      <c r="E25" s="3">
        <v>5359.0</v>
      </c>
    </row>
    <row r="26" ht="15.75" customHeight="1">
      <c r="A26" s="11">
        <v>25.0</v>
      </c>
      <c r="B26" s="11" t="s">
        <v>478</v>
      </c>
      <c r="C26" s="11" t="s">
        <v>100</v>
      </c>
      <c r="D26" s="11" t="s">
        <v>456</v>
      </c>
      <c r="E26" s="11">
        <v>5289.0</v>
      </c>
    </row>
    <row r="27" ht="15.75" customHeight="1">
      <c r="A27" s="3">
        <v>26.0</v>
      </c>
      <c r="B27" s="3" t="s">
        <v>479</v>
      </c>
      <c r="C27" s="3" t="s">
        <v>100</v>
      </c>
      <c r="D27" s="3" t="s">
        <v>456</v>
      </c>
      <c r="E27" s="3">
        <v>5236.0</v>
      </c>
    </row>
    <row r="28" ht="15.75" customHeight="1">
      <c r="A28" s="11">
        <v>27.0</v>
      </c>
      <c r="B28" s="11" t="s">
        <v>480</v>
      </c>
      <c r="C28" s="11" t="s">
        <v>43</v>
      </c>
      <c r="D28" s="11" t="s">
        <v>447</v>
      </c>
      <c r="E28" s="11">
        <v>5216.0</v>
      </c>
    </row>
    <row r="29" ht="15.75" customHeight="1">
      <c r="A29" s="3">
        <v>28.0</v>
      </c>
      <c r="B29" s="3" t="s">
        <v>481</v>
      </c>
      <c r="C29" s="3" t="s">
        <v>21</v>
      </c>
      <c r="D29" s="3" t="s">
        <v>467</v>
      </c>
      <c r="E29" s="3">
        <v>5181.0</v>
      </c>
    </row>
    <row r="30" ht="15.75" customHeight="1">
      <c r="A30" s="11">
        <v>29.0</v>
      </c>
      <c r="B30" s="11" t="s">
        <v>482</v>
      </c>
      <c r="C30" s="11" t="s">
        <v>43</v>
      </c>
      <c r="D30" s="11" t="s">
        <v>447</v>
      </c>
      <c r="E30" s="11">
        <v>4994.0</v>
      </c>
    </row>
    <row r="31" ht="15.75" customHeight="1">
      <c r="A31" s="3">
        <v>30.0</v>
      </c>
      <c r="B31" s="3" t="s">
        <v>483</v>
      </c>
      <c r="C31" s="3" t="s">
        <v>21</v>
      </c>
      <c r="D31" s="3" t="s">
        <v>460</v>
      </c>
      <c r="E31" s="3">
        <v>4654.0</v>
      </c>
    </row>
    <row r="32" ht="15.75" customHeight="1">
      <c r="A32" s="11">
        <v>31.0</v>
      </c>
      <c r="B32" s="11" t="s">
        <v>484</v>
      </c>
      <c r="C32" s="11" t="s">
        <v>100</v>
      </c>
      <c r="D32" s="11" t="s">
        <v>456</v>
      </c>
      <c r="E32" s="11">
        <v>4389.0</v>
      </c>
    </row>
    <row r="33" ht="15.75" customHeight="1">
      <c r="A33" s="3">
        <v>32.0</v>
      </c>
      <c r="B33" s="3" t="s">
        <v>485</v>
      </c>
      <c r="C33" s="3" t="s">
        <v>30</v>
      </c>
      <c r="D33" s="3" t="s">
        <v>451</v>
      </c>
      <c r="E33" s="3">
        <v>4267.0</v>
      </c>
    </row>
    <row r="34" ht="15.75" customHeight="1">
      <c r="A34" s="11">
        <v>33.0</v>
      </c>
      <c r="B34" s="11" t="s">
        <v>486</v>
      </c>
      <c r="C34" s="11" t="s">
        <v>100</v>
      </c>
      <c r="D34" s="11" t="s">
        <v>456</v>
      </c>
      <c r="E34" s="11">
        <v>4094.0</v>
      </c>
    </row>
    <row r="35" ht="15.75" customHeight="1">
      <c r="A35" s="3">
        <v>34.0</v>
      </c>
      <c r="B35" s="3" t="s">
        <v>487</v>
      </c>
      <c r="C35" s="3" t="s">
        <v>21</v>
      </c>
      <c r="D35" s="3" t="s">
        <v>449</v>
      </c>
      <c r="E35" s="3">
        <v>3850.0</v>
      </c>
    </row>
    <row r="36" ht="15.75" customHeight="1">
      <c r="A36" s="11">
        <v>35.0</v>
      </c>
      <c r="B36" s="11" t="s">
        <v>488</v>
      </c>
      <c r="C36" s="11" t="s">
        <v>21</v>
      </c>
      <c r="D36" s="11" t="s">
        <v>460</v>
      </c>
      <c r="E36" s="11">
        <v>3845.0</v>
      </c>
    </row>
    <row r="37" ht="15.75" customHeight="1">
      <c r="A37" s="3">
        <v>36.0</v>
      </c>
      <c r="B37" s="3" t="s">
        <v>489</v>
      </c>
      <c r="C37" s="3" t="s">
        <v>13</v>
      </c>
      <c r="D37" s="3" t="s">
        <v>490</v>
      </c>
      <c r="E37" s="3">
        <v>3844.0</v>
      </c>
    </row>
    <row r="38" ht="15.75" customHeight="1">
      <c r="A38" s="11">
        <v>37.0</v>
      </c>
      <c r="B38" s="11" t="s">
        <v>491</v>
      </c>
      <c r="C38" s="11" t="s">
        <v>21</v>
      </c>
      <c r="D38" s="11" t="s">
        <v>453</v>
      </c>
      <c r="E38" s="11">
        <v>3801.0</v>
      </c>
    </row>
    <row r="39" ht="15.75" customHeight="1">
      <c r="A39" s="3">
        <v>38.0</v>
      </c>
      <c r="B39" s="3" t="s">
        <v>492</v>
      </c>
      <c r="C39" s="3" t="s">
        <v>21</v>
      </c>
      <c r="D39" s="3" t="s">
        <v>467</v>
      </c>
      <c r="E39" s="3">
        <v>3798.0</v>
      </c>
    </row>
    <row r="40" ht="15.75" customHeight="1">
      <c r="A40" s="11">
        <v>39.0</v>
      </c>
      <c r="B40" s="11" t="s">
        <v>493</v>
      </c>
      <c r="C40" s="11" t="s">
        <v>100</v>
      </c>
      <c r="D40" s="11" t="s">
        <v>456</v>
      </c>
      <c r="E40" s="11">
        <v>3733.0</v>
      </c>
    </row>
    <row r="41" ht="15.75" customHeight="1">
      <c r="A41" s="3">
        <v>40.0</v>
      </c>
      <c r="B41" s="3" t="s">
        <v>494</v>
      </c>
      <c r="C41" s="3" t="s">
        <v>30</v>
      </c>
      <c r="D41" s="3" t="s">
        <v>451</v>
      </c>
      <c r="E41" s="3">
        <v>3641.0</v>
      </c>
    </row>
    <row r="42" ht="15.75" customHeight="1">
      <c r="A42" s="11">
        <v>41.0</v>
      </c>
      <c r="B42" s="11" t="s">
        <v>495</v>
      </c>
      <c r="C42" s="11" t="s">
        <v>43</v>
      </c>
      <c r="D42" s="11" t="s">
        <v>447</v>
      </c>
      <c r="E42" s="11">
        <v>3595.0</v>
      </c>
    </row>
    <row r="43" ht="15.75" customHeight="1">
      <c r="A43" s="3">
        <v>42.0</v>
      </c>
      <c r="B43" s="3" t="s">
        <v>496</v>
      </c>
      <c r="C43" s="3" t="s">
        <v>30</v>
      </c>
      <c r="D43" s="3" t="s">
        <v>451</v>
      </c>
      <c r="E43" s="3">
        <v>3565.0</v>
      </c>
    </row>
    <row r="44" ht="15.75" customHeight="1">
      <c r="A44" s="11">
        <v>43.0</v>
      </c>
      <c r="B44" s="11" t="s">
        <v>497</v>
      </c>
      <c r="C44" s="11" t="s">
        <v>21</v>
      </c>
      <c r="D44" s="11" t="s">
        <v>453</v>
      </c>
      <c r="E44" s="11">
        <v>3512.0</v>
      </c>
    </row>
    <row r="45" ht="15.75" customHeight="1">
      <c r="A45" s="3">
        <v>44.0</v>
      </c>
      <c r="B45" s="3" t="s">
        <v>498</v>
      </c>
      <c r="C45" s="3" t="s">
        <v>100</v>
      </c>
      <c r="D45" s="3" t="s">
        <v>456</v>
      </c>
      <c r="E45" s="3">
        <v>3463.0</v>
      </c>
    </row>
    <row r="46" ht="15.75" customHeight="1">
      <c r="A46" s="11">
        <v>45.0</v>
      </c>
      <c r="B46" s="11" t="s">
        <v>499</v>
      </c>
      <c r="C46" s="11" t="s">
        <v>100</v>
      </c>
      <c r="D46" s="11" t="s">
        <v>456</v>
      </c>
      <c r="E46" s="11">
        <v>3440.0</v>
      </c>
    </row>
    <row r="47" ht="15.75" customHeight="1">
      <c r="A47" s="3">
        <v>46.0</v>
      </c>
      <c r="B47" s="3" t="s">
        <v>500</v>
      </c>
      <c r="C47" s="3" t="s">
        <v>100</v>
      </c>
      <c r="D47" s="3" t="s">
        <v>456</v>
      </c>
      <c r="E47" s="3">
        <v>3432.0</v>
      </c>
    </row>
    <row r="48" ht="15.75" customHeight="1">
      <c r="A48" s="11">
        <v>47.0</v>
      </c>
      <c r="B48" s="11" t="s">
        <v>501</v>
      </c>
      <c r="C48" s="11" t="s">
        <v>30</v>
      </c>
      <c r="D48" s="11" t="s">
        <v>451</v>
      </c>
      <c r="E48" s="11">
        <v>3394.0</v>
      </c>
    </row>
    <row r="49" ht="15.75" customHeight="1">
      <c r="A49" s="3">
        <v>48.0</v>
      </c>
      <c r="B49" s="3" t="s">
        <v>502</v>
      </c>
      <c r="C49" s="3" t="s">
        <v>21</v>
      </c>
      <c r="D49" s="3" t="s">
        <v>453</v>
      </c>
      <c r="E49" s="3">
        <v>3349.0</v>
      </c>
    </row>
    <row r="50" ht="15.75" customHeight="1">
      <c r="A50" s="11">
        <v>49.0</v>
      </c>
      <c r="B50" s="11" t="s">
        <v>503</v>
      </c>
      <c r="C50" s="11" t="s">
        <v>21</v>
      </c>
      <c r="D50" s="11" t="s">
        <v>467</v>
      </c>
      <c r="E50" s="11">
        <v>3290.0</v>
      </c>
    </row>
    <row r="51" ht="15.75" customHeight="1">
      <c r="A51" s="3">
        <v>50.0</v>
      </c>
      <c r="B51" s="3" t="s">
        <v>504</v>
      </c>
      <c r="C51" s="3" t="s">
        <v>43</v>
      </c>
      <c r="D51" s="3" t="s">
        <v>447</v>
      </c>
      <c r="E51" s="3">
        <v>3255.0</v>
      </c>
    </row>
    <row r="52" ht="15.75" customHeight="1"/>
    <row r="53" ht="15.75" customHeight="1">
      <c r="A53" s="4" t="s">
        <v>505</v>
      </c>
    </row>
    <row r="54" ht="15.75" customHeight="1">
      <c r="A54" s="12" t="s">
        <v>506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9.0"/>
  </cols>
  <sheetData>
    <row r="1">
      <c r="A1" s="13" t="s">
        <v>507</v>
      </c>
    </row>
    <row r="3">
      <c r="A3" s="13" t="s">
        <v>508</v>
      </c>
      <c r="B3" s="13" t="s">
        <v>509</v>
      </c>
      <c r="C3" s="14" t="s">
        <v>510</v>
      </c>
    </row>
    <row r="4">
      <c r="A4" s="13" t="s">
        <v>21</v>
      </c>
      <c r="B4" s="15">
        <v>17.0</v>
      </c>
      <c r="C4" s="16">
        <f t="shared" ref="C4:C9" si="1">B4/50*100</f>
        <v>34</v>
      </c>
    </row>
    <row r="5">
      <c r="A5" s="13" t="s">
        <v>100</v>
      </c>
      <c r="B5" s="15">
        <v>13.0</v>
      </c>
      <c r="C5" s="16">
        <f t="shared" si="1"/>
        <v>26</v>
      </c>
    </row>
    <row r="6">
      <c r="A6" s="13" t="s">
        <v>43</v>
      </c>
      <c r="B6" s="15">
        <v>10.0</v>
      </c>
      <c r="C6" s="16">
        <f t="shared" si="1"/>
        <v>20</v>
      </c>
    </row>
    <row r="7">
      <c r="A7" s="13" t="s">
        <v>30</v>
      </c>
      <c r="B7" s="15">
        <v>7.0</v>
      </c>
      <c r="C7" s="16">
        <f t="shared" si="1"/>
        <v>14</v>
      </c>
    </row>
    <row r="8">
      <c r="A8" s="13" t="s">
        <v>83</v>
      </c>
      <c r="B8" s="15">
        <v>2.0</v>
      </c>
      <c r="C8" s="16">
        <f t="shared" si="1"/>
        <v>4</v>
      </c>
    </row>
    <row r="9">
      <c r="A9" s="13" t="s">
        <v>13</v>
      </c>
      <c r="B9" s="15">
        <v>1.0</v>
      </c>
      <c r="C9" s="16">
        <f t="shared" si="1"/>
        <v>2</v>
      </c>
    </row>
    <row r="11">
      <c r="A11" s="13" t="s">
        <v>511</v>
      </c>
      <c r="B11" s="16">
        <f>B4+B5+B6</f>
        <v>40</v>
      </c>
    </row>
    <row r="12">
      <c r="A12" s="13" t="s">
        <v>512</v>
      </c>
      <c r="B12" s="16">
        <f>(B4+B5+B6)/50*100</f>
        <v>80</v>
      </c>
    </row>
    <row r="13">
      <c r="A13" s="13" t="s">
        <v>513</v>
      </c>
      <c r="B13" s="16">
        <f>B4/50*100</f>
        <v>34</v>
      </c>
    </row>
    <row r="16">
      <c r="A16" s="13" t="s">
        <v>514</v>
      </c>
    </row>
    <row r="18">
      <c r="A18" s="13" t="s">
        <v>508</v>
      </c>
      <c r="B18" s="13" t="s">
        <v>515</v>
      </c>
    </row>
    <row r="19">
      <c r="A19" s="17" t="s">
        <v>13</v>
      </c>
      <c r="B19" s="18">
        <f>AVERAGEIF(FEI_Combinations_2026!D:D,"GBR",FEI_Combinations_2026!E:E)</f>
        <v>433.5294118</v>
      </c>
    </row>
    <row r="20">
      <c r="A20" s="17" t="s">
        <v>30</v>
      </c>
      <c r="B20" s="18">
        <f>AVERAGEIF(FEI_Combinations_2026!D:D,"FRA",FEI_Combinations_2026!E:E)</f>
        <v>398.1052632</v>
      </c>
    </row>
    <row r="21">
      <c r="A21" s="17" t="s">
        <v>10</v>
      </c>
      <c r="B21" s="18">
        <f>AVERAGEIF(FEI_Combinations_2026!D:D,"IRL",FEI_Combinations_2026!E:E)</f>
        <v>393.3181818</v>
      </c>
    </row>
    <row r="22">
      <c r="A22" s="17" t="s">
        <v>7</v>
      </c>
      <c r="B22" s="18">
        <f>AVERAGEIF(FEI_Combinations_2026!D:D,"USA",FEI_Combinations_2026!E:E)</f>
        <v>396</v>
      </c>
    </row>
    <row r="23">
      <c r="A23" s="17" t="s">
        <v>43</v>
      </c>
      <c r="B23" s="18">
        <f>AVERAGEIF(FEI_Combinations_2026!D:D,"BEL",FEI_Combinations_2026!E:E)</f>
        <v>375.9090909</v>
      </c>
    </row>
    <row r="24">
      <c r="A24" s="17" t="s">
        <v>21</v>
      </c>
      <c r="B24" s="18">
        <f>AVERAGEIF(FEI_Combinations_2026!D:D,"GER",FEI_Combinations_2026!E:E)</f>
        <v>367.25</v>
      </c>
    </row>
    <row r="25">
      <c r="A25" s="17" t="s">
        <v>100</v>
      </c>
      <c r="B25" s="18">
        <f>AVERAGEIF(FEI_Combinations_2026!D:D,"NED",FEI_Combinations_2026!E:E)</f>
        <v>354.2</v>
      </c>
    </row>
    <row r="28">
      <c r="A28" s="17" t="s">
        <v>516</v>
      </c>
      <c r="B28" s="18"/>
      <c r="C28" s="18"/>
      <c r="D28" s="18"/>
    </row>
    <row r="29">
      <c r="A29" s="17" t="s">
        <v>508</v>
      </c>
      <c r="B29" s="17" t="s">
        <v>517</v>
      </c>
      <c r="C29" s="17" t="s">
        <v>518</v>
      </c>
      <c r="D29" s="17" t="s">
        <v>519</v>
      </c>
    </row>
    <row r="30">
      <c r="A30" s="17" t="s">
        <v>21</v>
      </c>
      <c r="B30" s="17">
        <v>17.0</v>
      </c>
      <c r="C30" s="17">
        <v>24.0</v>
      </c>
      <c r="D30" s="17">
        <f t="shared" ref="D30:D33" si="2">C30/B30</f>
        <v>1.411764706</v>
      </c>
    </row>
    <row r="31">
      <c r="A31" s="17" t="s">
        <v>100</v>
      </c>
      <c r="B31" s="17">
        <v>13.0</v>
      </c>
      <c r="C31" s="17">
        <v>5.0</v>
      </c>
      <c r="D31" s="17">
        <f t="shared" si="2"/>
        <v>0.3846153846</v>
      </c>
    </row>
    <row r="32">
      <c r="A32" s="17" t="s">
        <v>43</v>
      </c>
      <c r="B32" s="17">
        <v>10.0</v>
      </c>
      <c r="C32" s="17">
        <v>11.0</v>
      </c>
      <c r="D32" s="17">
        <f t="shared" si="2"/>
        <v>1.1</v>
      </c>
    </row>
    <row r="33">
      <c r="A33" s="17" t="s">
        <v>30</v>
      </c>
      <c r="B33" s="17">
        <v>7.0</v>
      </c>
      <c r="C33" s="17">
        <v>19.0</v>
      </c>
      <c r="D33" s="17">
        <f t="shared" si="2"/>
        <v>2.714285714</v>
      </c>
    </row>
    <row r="34">
      <c r="A34" s="17" t="s">
        <v>13</v>
      </c>
      <c r="B34" s="17">
        <v>1.0</v>
      </c>
      <c r="C34" s="17">
        <v>17.0</v>
      </c>
      <c r="D34" s="17">
        <f>C34/B4</f>
        <v>1</v>
      </c>
    </row>
    <row r="35">
      <c r="A35" s="17" t="s">
        <v>10</v>
      </c>
      <c r="B35" s="17">
        <v>0.0</v>
      </c>
      <c r="C35" s="17">
        <v>22.0</v>
      </c>
      <c r="D35" s="17" t="str">
        <f t="shared" ref="D35:D36" si="3">IF(B35=0,"∞",C35/B35)</f>
        <v>∞</v>
      </c>
    </row>
    <row r="36">
      <c r="A36" s="17" t="s">
        <v>7</v>
      </c>
      <c r="B36" s="17">
        <v>0.0</v>
      </c>
      <c r="C36" s="17">
        <v>31.0</v>
      </c>
      <c r="D36" s="17" t="str">
        <f t="shared" si="3"/>
        <v>∞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0.0"/>
    <col customWidth="1" min="3" max="26" width="8.71"/>
  </cols>
  <sheetData>
    <row r="1">
      <c r="A1" s="19" t="s">
        <v>520</v>
      </c>
      <c r="B1" s="19" t="s">
        <v>521</v>
      </c>
    </row>
    <row r="2">
      <c r="A2" s="20" t="s">
        <v>522</v>
      </c>
      <c r="B2" s="20" t="s">
        <v>523</v>
      </c>
    </row>
    <row r="3">
      <c r="A3" s="20" t="s">
        <v>524</v>
      </c>
      <c r="B3" s="20" t="s">
        <v>525</v>
      </c>
    </row>
    <row r="4">
      <c r="A4" s="20" t="s">
        <v>526</v>
      </c>
      <c r="B4" s="20" t="s">
        <v>527</v>
      </c>
    </row>
    <row r="5">
      <c r="A5" s="20"/>
      <c r="B5" s="20"/>
    </row>
    <row r="6">
      <c r="A6" s="19" t="s">
        <v>528</v>
      </c>
      <c r="B6" s="19" t="s">
        <v>529</v>
      </c>
    </row>
    <row r="7">
      <c r="A7" s="20" t="s">
        <v>530</v>
      </c>
      <c r="B7" s="20" t="s">
        <v>531</v>
      </c>
    </row>
    <row r="8">
      <c r="A8" s="20" t="s">
        <v>532</v>
      </c>
      <c r="B8" s="20" t="s">
        <v>533</v>
      </c>
    </row>
    <row r="9">
      <c r="A9" s="20" t="s">
        <v>534</v>
      </c>
      <c r="B9" s="20" t="s">
        <v>535</v>
      </c>
    </row>
    <row r="10">
      <c r="A10" s="20"/>
      <c r="B10" s="20"/>
    </row>
    <row r="11">
      <c r="A11" s="19" t="s">
        <v>536</v>
      </c>
      <c r="B11" s="19" t="s">
        <v>537</v>
      </c>
    </row>
    <row r="12">
      <c r="A12" s="20" t="s">
        <v>530</v>
      </c>
      <c r="B12" s="20" t="s">
        <v>538</v>
      </c>
    </row>
    <row r="13">
      <c r="A13" s="20" t="s">
        <v>532</v>
      </c>
      <c r="B13" s="20" t="s">
        <v>539</v>
      </c>
    </row>
    <row r="14">
      <c r="A14" s="20" t="s">
        <v>534</v>
      </c>
      <c r="B14" s="20" t="s">
        <v>540</v>
      </c>
    </row>
    <row r="15">
      <c r="A15" s="20"/>
      <c r="B15" s="20"/>
    </row>
    <row r="16">
      <c r="A16" s="19" t="s">
        <v>541</v>
      </c>
      <c r="B16" s="19" t="s">
        <v>542</v>
      </c>
    </row>
    <row r="17">
      <c r="A17" s="20" t="s">
        <v>530</v>
      </c>
      <c r="B17" s="20" t="s">
        <v>543</v>
      </c>
    </row>
    <row r="18">
      <c r="A18" s="20" t="s">
        <v>532</v>
      </c>
      <c r="B18" s="20" t="s">
        <v>544</v>
      </c>
    </row>
    <row r="19">
      <c r="A19" s="20" t="s">
        <v>534</v>
      </c>
      <c r="B19" s="20" t="s">
        <v>545</v>
      </c>
    </row>
    <row r="20">
      <c r="A20" s="20"/>
      <c r="B20" s="20"/>
    </row>
    <row r="21" ht="15.75" customHeight="1">
      <c r="A21" s="20" t="s">
        <v>546</v>
      </c>
      <c r="B21" s="20"/>
    </row>
    <row r="22" ht="15.75" customHeight="1">
      <c r="A22" s="20" t="s">
        <v>547</v>
      </c>
      <c r="B22" s="20" t="s">
        <v>548</v>
      </c>
    </row>
    <row r="23" ht="15.75" customHeight="1">
      <c r="A23" s="20" t="s">
        <v>549</v>
      </c>
      <c r="B23" s="20" t="s">
        <v>550</v>
      </c>
    </row>
    <row r="24" ht="15.75" customHeight="1">
      <c r="A24" s="20" t="s">
        <v>551</v>
      </c>
      <c r="B24" s="20" t="s">
        <v>552</v>
      </c>
    </row>
    <row r="25" ht="15.75" customHeight="1">
      <c r="A25" s="20" t="s">
        <v>553</v>
      </c>
      <c r="B25" s="20" t="s">
        <v>554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